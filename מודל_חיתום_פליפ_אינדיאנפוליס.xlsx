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ודל_עסקה" sheetId="1" state="visible" r:id="rId1"/>
    <sheet xmlns:r="http://schemas.openxmlformats.org/officeDocument/2006/relationships" name="רגישויות" sheetId="2" state="visible" r:id="rId2"/>
    <sheet xmlns:r="http://schemas.openxmlformats.org/officeDocument/2006/relationships" name="זיפים_אינדי" sheetId="3" state="visible" r:id="rId3"/>
    <sheet xmlns:r="http://schemas.openxmlformats.org/officeDocument/2006/relationships" name="תיק_500K" sheetId="4" state="visible" r:id="rId4"/>
    <sheet xmlns:r="http://schemas.openxmlformats.org/officeDocument/2006/relationships" name="הנחות_ומקורות" sheetId="5" state="visible" r:id="rId5"/>
    <sheet xmlns:r="http://schemas.openxmlformats.org/officeDocument/2006/relationships" name="מזומן_מול_מינוף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-"/>
    <numFmt numFmtId="165" formatCode="0.0%"/>
    <numFmt numFmtId="166" formatCode="0.0"/>
    <numFmt numFmtId="167" formatCode="+0%;-0%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  <font>
      <name val="Arial"/>
      <i val="1"/>
      <color rgb="00C00000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49" fontId="5" fillId="3" borderId="1" pivotButton="0" quotePrefix="0" xfId="0"/>
    <xf numFmtId="3" fontId="5" fillId="3" borderId="1" pivotButton="0" quotePrefix="0" xfId="0"/>
    <xf numFmtId="1" fontId="5" fillId="3" borderId="1" pivotButton="0" quotePrefix="0" xfId="0"/>
    <xf numFmtId="164" fontId="5" fillId="3" borderId="1" pivotButton="0" quotePrefix="0" xfId="0"/>
    <xf numFmtId="164" fontId="6" fillId="0" borderId="1" pivotButton="0" quotePrefix="0" xfId="0"/>
    <xf numFmtId="164" fontId="4" fillId="0" borderId="1" pivotButton="0" quotePrefix="0" xfId="0"/>
    <xf numFmtId="165" fontId="5" fillId="3" borderId="1" pivotButton="0" quotePrefix="0" xfId="0"/>
    <xf numFmtId="166" fontId="5" fillId="3" borderId="1" pivotButton="0" quotePrefix="0" xfId="0"/>
    <xf numFmtId="166" fontId="6" fillId="0" borderId="1" pivotButton="0" quotePrefix="0" xfId="0"/>
    <xf numFmtId="2" fontId="4" fillId="0" borderId="1" pivotButton="0" quotePrefix="0" xfId="0"/>
    <xf numFmtId="164" fontId="6" fillId="4" borderId="1" pivotButton="0" quotePrefix="0" xfId="0"/>
    <xf numFmtId="165" fontId="4" fillId="0" borderId="1" pivotButton="0" quotePrefix="0" xfId="0"/>
    <xf numFmtId="164" fontId="6" fillId="5" borderId="1" pivotButton="0" quotePrefix="0" xfId="0"/>
    <xf numFmtId="165" fontId="6" fillId="5" borderId="1" pivotButton="0" quotePrefix="0" xfId="0"/>
    <xf numFmtId="49" fontId="6" fillId="6" borderId="1" pivotButton="0" quotePrefix="0" xfId="0"/>
    <xf numFmtId="1" fontId="4" fillId="0" borderId="1" pivotButton="0" quotePrefix="0" xfId="0"/>
    <xf numFmtId="0" fontId="6" fillId="4" borderId="0" pivotButton="0" quotePrefix="0" xfId="0"/>
    <xf numFmtId="167" fontId="3" fillId="2" borderId="0" pivotButton="0" quotePrefix="0" xfId="0"/>
    <xf numFmtId="0" fontId="6" fillId="0" borderId="0" pivotButton="0" quotePrefix="0" xfId="0"/>
    <xf numFmtId="164" fontId="7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5" borderId="1" pivotButton="0" quotePrefix="0" xfId="0"/>
    <xf numFmtId="164" fontId="4" fillId="5" borderId="1" pivotButton="0" quotePrefix="0" xfId="0"/>
    <xf numFmtId="165" fontId="4" fillId="5" borderId="1" pivotButton="0" quotePrefix="0" xfId="0"/>
    <xf numFmtId="0" fontId="4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0" fontId="8" fillId="0" borderId="0" pivotButton="0" quotePrefix="0" xfId="0"/>
    <xf numFmtId="164" fontId="7" fillId="0" borderId="1" pivotButton="0" quotePrefix="0" xfId="0"/>
    <xf numFmtId="2" fontId="7" fillId="0" borderId="1" pivotButton="0" quotePrefix="0" xfId="0"/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52" customWidth="1" min="3" max="3"/>
  </cols>
  <sheetData>
    <row r="1">
      <c r="A1" s="1" t="inlineStr">
        <is>
          <t>מודל חיתום פליפ — אינדיאנפוליס</t>
        </is>
      </c>
    </row>
    <row r="2">
      <c r="A2" s="2" t="inlineStr">
        <is>
          <t>צהוב = תא קלט. שחור = נוסחה. עדכן רק את התאים הצהובים.</t>
        </is>
      </c>
    </row>
    <row r="3">
      <c r="A3" s="3" t="inlineStr">
        <is>
          <t>א. נכס ועסקה</t>
        </is>
      </c>
      <c r="B3" s="4" t="n"/>
      <c r="C3" s="4" t="n"/>
    </row>
    <row r="4">
      <c r="A4" s="5" t="inlineStr">
        <is>
          <t>ZIP</t>
        </is>
      </c>
      <c r="B4" s="6" t="inlineStr">
        <is>
          <t>46236</t>
        </is>
      </c>
    </row>
    <row r="5">
      <c r="A5" s="5" t="inlineStr">
        <is>
          <t>שטח בנוי (sqft)</t>
        </is>
      </c>
      <c r="B5" s="7" t="n">
        <v>1400</v>
      </c>
    </row>
    <row r="6">
      <c r="A6" s="5" t="inlineStr">
        <is>
          <t>שנת בנייה</t>
        </is>
      </c>
      <c r="B6" s="8" t="n">
        <v>1993</v>
      </c>
      <c r="C6" s="2" t="inlineStr">
        <is>
          <t>&lt;1978 ⇒ חלה חובת EPA RRP</t>
        </is>
      </c>
    </row>
    <row r="7">
      <c r="A7" s="5" t="inlineStr">
        <is>
          <t>ARV לרגל רבוע ($/sqft)</t>
        </is>
      </c>
      <c r="B7" s="9" t="n">
        <v>215</v>
      </c>
      <c r="C7" s="2" t="inlineStr">
        <is>
          <t>קלט. מ-python3 arv.py comps / listings.py: ARV ÷ sqft. המכפיל 1.18 נפסל (decisions.md 6.9.2026)</t>
        </is>
      </c>
    </row>
    <row r="8">
      <c r="A8" s="5" t="inlineStr">
        <is>
          <t>ARV גולמי</t>
        </is>
      </c>
      <c r="B8" s="10">
        <f>B5*B7</f>
        <v/>
      </c>
    </row>
    <row r="9">
      <c r="A9" s="5" t="inlineStr">
        <is>
          <t>מחיר רכישה</t>
        </is>
      </c>
      <c r="B9" s="9" t="n">
        <v>180000</v>
      </c>
    </row>
    <row r="11">
      <c r="A11" s="3" t="inlineStr">
        <is>
          <t>ב. שיפוץ</t>
        </is>
      </c>
      <c r="B11" s="4" t="n"/>
      <c r="C11" s="4" t="n"/>
    </row>
    <row r="12">
      <c r="A12" s="5" t="inlineStr">
        <is>
          <t>עלות בסיס $/sqft</t>
        </is>
      </c>
      <c r="B12" s="9" t="n">
        <v>32</v>
      </c>
      <c r="C12" s="2" t="inlineStr">
        <is>
          <t>אינדי 2026: קל 12-20 · בינוני 25-42 · גוט 45-75</t>
        </is>
      </c>
    </row>
    <row r="13">
      <c r="A13" s="5" t="inlineStr">
        <is>
          <t>תוספת מלאי טרום-1978 $/sqft</t>
        </is>
      </c>
      <c r="B13" s="9" t="n">
        <v>8</v>
      </c>
      <c r="C13" s="2" t="inlineStr">
        <is>
          <t>עופרת, אסבסט, מגולוון, חיווט אלומיניום</t>
        </is>
      </c>
    </row>
    <row r="14">
      <c r="A14" s="5" t="inlineStr">
        <is>
          <t>$/sqft אפקטיבי</t>
        </is>
      </c>
      <c r="B14" s="11">
        <f>IF(B6&lt;1978,B12+B13,B12)</f>
        <v/>
      </c>
    </row>
    <row r="15">
      <c r="A15" s="5" t="inlineStr">
        <is>
          <t>עלות שיפוץ בסיס</t>
        </is>
      </c>
      <c r="B15" s="11">
        <f>B5*B14</f>
        <v/>
      </c>
    </row>
    <row r="16">
      <c r="A16" s="5" t="inlineStr">
        <is>
          <t>רזרבה %</t>
        </is>
      </c>
      <c r="B16" s="12" t="n">
        <v>0.17</v>
      </c>
      <c r="C16" s="2" t="inlineStr">
        <is>
          <t>15%-20% על מלאי טרום-1970. MEP הוא מקור החריגה ב-2026</t>
        </is>
      </c>
    </row>
    <row r="17">
      <c r="A17" s="5" t="inlineStr">
        <is>
          <t>סה"כ שיפוץ</t>
        </is>
      </c>
      <c r="B17" s="10">
        <f>B15*(1+B16)</f>
        <v/>
      </c>
    </row>
    <row r="19">
      <c r="A19" s="3" t="inlineStr">
        <is>
          <t>ג. עלויות רכישה</t>
        </is>
      </c>
      <c r="B19" s="4" t="n"/>
      <c r="C19" s="4" t="n"/>
    </row>
    <row r="20">
      <c r="A20" s="5" t="inlineStr">
        <is>
          <t>טייטל, סגירה, עו"ד</t>
        </is>
      </c>
      <c r="B20" s="9" t="n">
        <v>2000</v>
      </c>
    </row>
    <row r="21">
      <c r="A21" s="5" t="inlineStr">
        <is>
          <t>בדיקה, שמאות, סקר</t>
        </is>
      </c>
      <c r="B21" s="9" t="n">
        <v>900</v>
      </c>
    </row>
    <row r="22">
      <c r="A22" s="5" t="inlineStr">
        <is>
          <t>אגרות רישום</t>
        </is>
      </c>
      <c r="B22" s="9" t="n">
        <v>65</v>
      </c>
      <c r="C22" s="2" t="inlineStr">
        <is>
          <t>אינדיאנה: $35 שטר + $10 מבקר + $20 SDF · מס העברה מדינתי $0</t>
        </is>
      </c>
    </row>
    <row r="23">
      <c r="A23" s="5" t="inlineStr">
        <is>
          <t>היתרים</t>
        </is>
      </c>
      <c r="B23" s="9" t="n">
        <v>900</v>
      </c>
      <c r="C23" s="2" t="inlineStr">
        <is>
          <t>מבני $390 · מטבח/אמבט מלא ~$712 · בדיקה 15-20 ימי עסקים</t>
        </is>
      </c>
    </row>
    <row r="24">
      <c r="A24" s="5" t="inlineStr">
        <is>
          <t>סה"כ עלויות רכישה</t>
        </is>
      </c>
      <c r="B24" s="10">
        <f>SUM(B20:B23)</f>
        <v/>
      </c>
    </row>
    <row r="26">
      <c r="A26" s="3" t="inlineStr">
        <is>
          <t>ד. לוח זמנים</t>
        </is>
      </c>
      <c r="B26" s="4" t="n"/>
      <c r="C26" s="4" t="n"/>
    </row>
    <row r="27">
      <c r="A27" s="5" t="inlineStr">
        <is>
          <t>חודשי שיפוץ</t>
        </is>
      </c>
      <c r="B27" s="13" t="n">
        <v>5</v>
      </c>
    </row>
    <row r="28">
      <c r="A28" s="5" t="inlineStr">
        <is>
          <t>ימים בשוק (DOM)</t>
        </is>
      </c>
      <c r="B28" s="8" t="n">
        <v>30</v>
      </c>
      <c r="C28" s="2" t="inlineStr">
        <is>
          <t>זיפ 46236: 18 · אבל Marion County מדיאן 25 ו-Center Twp 41</t>
        </is>
      </c>
    </row>
    <row r="29">
      <c r="A29" s="5" t="inlineStr">
        <is>
          <t>ימי סגירה</t>
        </is>
      </c>
      <c r="B29" s="8" t="n">
        <v>35</v>
      </c>
    </row>
    <row r="30">
      <c r="A30" s="5" t="inlineStr">
        <is>
          <t>סה"כ חודשי החזקה</t>
        </is>
      </c>
      <c r="B30" s="14">
        <f>B27+(B28+B29)/30.4</f>
        <v/>
      </c>
    </row>
    <row r="31">
      <c r="A31" s="5" t="inlineStr">
        <is>
          <t>מחזורים בשנה</t>
        </is>
      </c>
      <c r="B31" s="15">
        <f>12/(B30+1.5)</f>
        <v/>
      </c>
      <c r="C31" t="inlineStr">
        <is>
          <t>+1.5 ח' חיפוש וסגירה של העסקה הבאה (~45 יום). היה 12/B30</t>
        </is>
      </c>
    </row>
    <row r="33">
      <c r="A33" s="3" t="inlineStr">
        <is>
          <t>ה. עלויות החזקה</t>
        </is>
      </c>
      <c r="B33" s="4" t="n"/>
      <c r="C33" s="4" t="n"/>
    </row>
    <row r="34">
      <c r="A34" s="5" t="inlineStr">
        <is>
          <t>שווי שומה (AV)</t>
        </is>
      </c>
      <c r="B34" s="9" t="n">
        <v>150000</v>
      </c>
      <c r="C34" s="2" t="inlineStr">
        <is>
          <t>נמוך ממחיר השוק בדרך כלל. לאמת בטופס 11</t>
        </is>
      </c>
    </row>
    <row r="35">
      <c r="A35" s="5" t="inlineStr">
        <is>
          <t>תקרת מס רכוש אינדיאנה</t>
        </is>
      </c>
      <c r="B35" s="12" t="n">
        <v>0.02</v>
      </c>
      <c r="C35" s="2" t="inlineStr">
        <is>
          <t>IC 6-1.1-20.6-4(1): 2% למגורים לא-מאוכלס-בעלים ב-LLC</t>
        </is>
      </c>
    </row>
    <row r="36">
      <c r="A36" s="5" t="inlineStr">
        <is>
          <t>מס רכוש שנתי</t>
        </is>
      </c>
      <c r="B36" s="11">
        <f>B34*B35</f>
        <v/>
      </c>
    </row>
    <row r="37">
      <c r="A37" s="5" t="inlineStr">
        <is>
          <t>ביטוח builder's risk שנתי</t>
        </is>
      </c>
      <c r="B37" s="9" t="n">
        <v>2200</v>
      </c>
      <c r="C37" s="2" t="inlineStr">
        <is>
          <t>⚠️ לוודא בכתב אם ההשתתפות לרוח/ברד היא $ קבוע או % מהכיסוי</t>
        </is>
      </c>
    </row>
    <row r="38">
      <c r="A38" s="5" t="inlineStr">
        <is>
          <t>יוטיליטיס חודשי</t>
        </is>
      </c>
      <c r="B38" s="9" t="n">
        <v>180</v>
      </c>
    </row>
    <row r="39">
      <c r="A39" s="5" t="inlineStr">
        <is>
          <t>אבטחה, גינון, אחר חודשי</t>
        </is>
      </c>
      <c r="B39" s="9" t="n">
        <v>150</v>
      </c>
    </row>
    <row r="40">
      <c r="A40" s="5" t="inlineStr">
        <is>
          <t>סה"כ חודשי</t>
        </is>
      </c>
      <c r="B40" s="11">
        <f>B36/12+B37/12+B38+B39</f>
        <v/>
      </c>
    </row>
    <row r="41">
      <c r="A41" s="5" t="inlineStr">
        <is>
          <t>סה"כ עלויות החזקה</t>
        </is>
      </c>
      <c r="B41" s="10">
        <f>B40*B30</f>
        <v/>
      </c>
    </row>
    <row r="43">
      <c r="A43" s="3" t="inlineStr">
        <is>
          <t>ו. מימון — 0% בשתי השורות = מזומן מלא</t>
        </is>
      </c>
      <c r="B43" s="4" t="n"/>
      <c r="C43" s="4" t="n"/>
    </row>
    <row r="44">
      <c r="A44" s="5" t="inlineStr">
        <is>
          <t>LTC על הרכישה %</t>
        </is>
      </c>
      <c r="B44" s="12" t="n">
        <v>0</v>
      </c>
      <c r="C44" s="2" t="inlineStr">
        <is>
          <t>0% = מזומן מלא (ברירת המחדל). ממונף: Kiavi עד 95% · Lima One 90-95%</t>
        </is>
      </c>
    </row>
    <row r="45">
      <c r="A45" s="5" t="inlineStr">
        <is>
          <t>% מימון השיפוץ</t>
        </is>
      </c>
      <c r="B45" s="12" t="n">
        <v>0</v>
      </c>
      <c r="C45" s="2" t="inlineStr">
        <is>
          <t>0% = מזומן מלא</t>
        </is>
      </c>
    </row>
    <row r="46">
      <c r="A46" s="5" t="inlineStr">
        <is>
          <t>סכום ההלוואה</t>
        </is>
      </c>
      <c r="B46" s="11">
        <f>B9*B44+B17*B45</f>
        <v/>
      </c>
    </row>
    <row r="47">
      <c r="A47" s="5" t="inlineStr">
        <is>
          <t>נקודות %</t>
        </is>
      </c>
      <c r="B47" s="12" t="n">
        <v>0.02</v>
      </c>
    </row>
    <row r="48">
      <c r="A48" s="5" t="inlineStr">
        <is>
          <t>ריבית שנתית (IO)</t>
        </is>
      </c>
      <c r="B48" s="12" t="n">
        <v>0.095</v>
      </c>
      <c r="C48" s="2" t="inlineStr">
        <is>
          <t>2026, לווה מנוסה: 7.75%-10.5%</t>
        </is>
      </c>
    </row>
    <row r="49">
      <c r="A49" s="5" t="inlineStr">
        <is>
          <t>עלות נקודות</t>
        </is>
      </c>
      <c r="B49" s="11">
        <f>B46*B47</f>
        <v/>
      </c>
    </row>
    <row r="50">
      <c r="A50" s="5" t="inlineStr">
        <is>
          <t>ריבית לתקופת ההחזקה</t>
        </is>
      </c>
      <c r="B50" s="11">
        <f>B46*B48*B30/12</f>
        <v/>
      </c>
    </row>
    <row r="51">
      <c r="A51" s="5" t="inlineStr">
        <is>
          <t>סה"כ עלות מימון</t>
        </is>
      </c>
      <c r="B51" s="10">
        <f>B49+B50</f>
        <v/>
      </c>
    </row>
    <row r="53">
      <c r="A53" s="3" t="inlineStr">
        <is>
          <t>ז. בסיס כולל</t>
        </is>
      </c>
      <c r="B53" s="4" t="n"/>
      <c r="C53" s="4" t="n"/>
    </row>
    <row r="54">
      <c r="A54" s="5" t="inlineStr">
        <is>
          <t>סה"כ בסיס</t>
        </is>
      </c>
      <c r="B54" s="10">
        <f>B9+B24+B17+B41+B51</f>
        <v/>
      </c>
    </row>
    <row r="55">
      <c r="A55" s="5" t="inlineStr">
        <is>
          <t>מזומן שהושקע</t>
        </is>
      </c>
      <c r="B55" s="16">
        <f>B54-B46</f>
        <v/>
      </c>
    </row>
    <row r="57">
      <c r="A57" s="3" t="inlineStr">
        <is>
          <t>ח. יציאה</t>
        </is>
      </c>
      <c r="B57" s="4" t="n"/>
      <c r="C57" s="4" t="n"/>
    </row>
    <row r="58">
      <c r="A58" s="5" t="inlineStr">
        <is>
          <t>דריפט שוק שנתי ($/sqft)</t>
        </is>
      </c>
      <c r="B58" s="12" t="n">
        <v>0.004</v>
      </c>
      <c r="C58" s="2" t="inlineStr">
        <is>
          <t>אינדי מטרו +0.4% · קנזס סיטי +8.0% · ממפיס −8.6%</t>
        </is>
      </c>
    </row>
    <row r="59">
      <c r="A59" s="5" t="inlineStr">
        <is>
          <t>ARV מותאם לדריפט</t>
        </is>
      </c>
      <c r="B59" s="10">
        <f>B8*(1+B58*B30/12)</f>
        <v/>
      </c>
    </row>
    <row r="60">
      <c r="A60" s="5" t="inlineStr">
        <is>
          <t>עמלת תיווך %</t>
        </is>
      </c>
      <c r="B60" s="12" t="n">
        <v>0.0525</v>
      </c>
      <c r="C60" s="2" t="inlineStr">
        <is>
          <t>2026 בפועל: 2.738% מוכר + 2.55% קונה. הסדר NAR לא שינה בטווח הזה</t>
        </is>
      </c>
    </row>
    <row r="61">
      <c r="A61" s="5" t="inlineStr">
        <is>
          <t>הטבות לקונה %</t>
        </is>
      </c>
      <c r="B61" s="12" t="n">
        <v>0.019</v>
      </c>
      <c r="C61" s="2" t="inlineStr">
        <is>
          <t>נמדד 6.9.2026 מ-E3_Seller_Points, 9,736 מכירות: חציון 1.9%, p75 2.8%. לחיתום שמרני 2.8%</t>
        </is>
      </c>
    </row>
    <row r="62">
      <c r="A62" s="5" t="inlineStr">
        <is>
          <t>טייטל וסגירה — צד מוכר %</t>
        </is>
      </c>
      <c r="B62" s="12" t="n">
        <v>0.015</v>
      </c>
    </row>
    <row r="63">
      <c r="A63" s="5" t="inlineStr">
        <is>
          <t>מס העברה %</t>
        </is>
      </c>
      <c r="B63" s="12" t="n">
        <v>0</v>
      </c>
      <c r="C63" s="2" t="inlineStr">
        <is>
          <t>אינדיאנה: $0 מדינתי</t>
        </is>
      </c>
    </row>
    <row r="64">
      <c r="A64" s="5" t="inlineStr">
        <is>
          <t>סה"כ עלויות יציאה</t>
        </is>
      </c>
      <c r="B64" s="10">
        <f>B59*(B60+B61+B62+B63)</f>
        <v/>
      </c>
    </row>
    <row r="65">
      <c r="A65" s="5" t="inlineStr">
        <is>
          <t>עלויות יציאה כ-% מה-ARV</t>
        </is>
      </c>
      <c r="B65" s="17">
        <f>B64/B59</f>
        <v/>
      </c>
    </row>
    <row r="66">
      <c r="A66" s="5" t="inlineStr">
        <is>
          <t>תמורה נטו</t>
        </is>
      </c>
      <c r="B66" s="10">
        <f>B59-B64</f>
        <v/>
      </c>
    </row>
    <row r="68">
      <c r="A68" s="3" t="inlineStr">
        <is>
          <t>ט. תוצאה</t>
        </is>
      </c>
      <c r="B68" s="4" t="n"/>
      <c r="C68" s="4" t="n"/>
    </row>
    <row r="69">
      <c r="A69" s="5" t="inlineStr">
        <is>
          <t>רווח גולמי</t>
        </is>
      </c>
      <c r="B69" s="18">
        <f>B66-B54</f>
        <v/>
      </c>
    </row>
    <row r="70">
      <c r="A70" s="5" t="inlineStr">
        <is>
          <t>רווח כ-% מה-ARV</t>
        </is>
      </c>
      <c r="B70" s="17">
        <f>B69/B59</f>
        <v/>
      </c>
    </row>
    <row r="71">
      <c r="A71" s="5" t="inlineStr">
        <is>
          <t>תשואה על העלות</t>
        </is>
      </c>
      <c r="B71" s="17">
        <f>B69/B54</f>
        <v/>
      </c>
    </row>
    <row r="72">
      <c r="A72" s="5" t="inlineStr">
        <is>
          <t>תשואה על המזומן (CoC)</t>
        </is>
      </c>
      <c r="B72" s="19">
        <f>B69/B55</f>
        <v/>
      </c>
    </row>
    <row r="73">
      <c r="A73" s="5" t="inlineStr">
        <is>
          <t>תשואה שנתית על המזומן</t>
        </is>
      </c>
      <c r="B73" s="19">
        <f>B72*B31</f>
        <v/>
      </c>
    </row>
    <row r="75">
      <c r="A75" s="3" t="inlineStr">
        <is>
          <t>י. בדיקות חובה</t>
        </is>
      </c>
      <c r="B75" s="4" t="n"/>
      <c r="C75" s="4" t="n"/>
    </row>
    <row r="76">
      <c r="A76" s="5" t="inlineStr">
        <is>
          <t>הצעה מקסימלית — כלל ההצעה (72% · צפון 69%)</t>
        </is>
      </c>
      <c r="B76" s="10">
        <f>B8*IF(OR(B4="46220",B4="46205",B4="46260",B4="46240"),0.69,0.72)-B17</f>
        <v/>
      </c>
      <c r="C76" t="inlineStr">
        <is>
          <t>לפי הזיפ בתא B4: BUY BOX 72%, צפון 69% (שגיאת ARV 18.7% שם). decisions.md 6.9.2026. היה 70%</t>
        </is>
      </c>
    </row>
    <row r="77">
      <c r="A77" s="5" t="inlineStr">
        <is>
          <t>המחיר עומד בכלל ההצעה?</t>
        </is>
      </c>
      <c r="B77" s="20">
        <f>IF(B9&lt;=B76,"כן","לא — משלם יתר על המידה")</f>
        <v/>
      </c>
    </row>
    <row r="78">
      <c r="A78" s="5" t="inlineStr">
        <is>
          <t>מרווח מול ההצעה המקסימלית</t>
        </is>
      </c>
      <c r="B78" s="11">
        <f>B76-B9</f>
        <v/>
      </c>
    </row>
    <row r="79">
      <c r="A79" s="5" t="inlineStr">
        <is>
          <t>חובת EPA RRP (טרום-1978)?</t>
        </is>
      </c>
      <c r="B79" s="20">
        <f>IF(B6&lt;1978,"כן — חובה קבלן מוסמך + בידוד","לא")</f>
        <v/>
      </c>
      <c r="C79" s="2" t="inlineStr">
        <is>
          <t>קנס $46,989 ליום להפרה, נכון ל-12.1.2026</t>
        </is>
      </c>
    </row>
    <row r="80">
      <c r="A80" s="5" t="inlineStr">
        <is>
          <t>יום מוכן-לשוק מרישום השטר</t>
        </is>
      </c>
      <c r="B80" s="21">
        <f>B27*30.4</f>
        <v/>
      </c>
    </row>
    <row r="81">
      <c r="A81" s="5" t="inlineStr">
        <is>
          <t>סיכון כלל ה-90 יום של FHA?</t>
        </is>
      </c>
      <c r="B81" s="20">
        <f>IF(B80&lt;91,"⚠️ כן — אין לחתום חוזה FHA לפני יום 91","לא")</f>
        <v/>
      </c>
      <c r="C81" s="2" t="inlineStr">
        <is>
          <t>24 CFR 203.37a — אומת בתוקף ל-1.9.2026</t>
        </is>
      </c>
    </row>
    <row r="82">
      <c r="A82" s="5" t="inlineStr">
        <is>
          <t>עליית מחיר מהרכישה</t>
        </is>
      </c>
      <c r="B82" s="17">
        <f>B59/B9-1</f>
        <v/>
      </c>
      <c r="C82" s="2" t="inlineStr">
        <is>
          <t>מעל 100% ב-91-180 יום ⇒ שמאות שנייה חובה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רגישויות — רווח גולמי בדולרים</t>
        </is>
      </c>
    </row>
    <row r="2">
      <c r="A2" s="2" t="inlineStr">
        <is>
          <t>שורות = סטיית עלות השיפוץ · עמודות = סטיית מחיר המכירה</t>
        </is>
      </c>
    </row>
    <row r="4">
      <c r="A4" s="22" t="inlineStr">
        <is>
          <t>עלות שיפוץ ↓ / מחיר מכירה ←</t>
        </is>
      </c>
      <c r="B4" s="23" t="n">
        <v>-0.15</v>
      </c>
      <c r="C4" s="23" t="n">
        <v>-0.09999999999999998</v>
      </c>
      <c r="D4" s="23" t="n">
        <v>-0.05000000000000004</v>
      </c>
      <c r="E4" s="23" t="n">
        <v>0</v>
      </c>
      <c r="F4" s="23" t="n">
        <v>0.05000000000000004</v>
      </c>
    </row>
    <row r="5">
      <c r="A5" s="23" t="n">
        <v>-0.09999999999999998</v>
      </c>
      <c r="B5" s="11">
        <f>(מודל_עסקה!$B$59*(1+B$4))*(1-SUM(מודל_עסקה!$B$60:$B$63))-(מודל_עסקה!$B$54+מודל_עסקה!$B$17*$A5)</f>
        <v/>
      </c>
      <c r="C5" s="11">
        <f>(מודל_עסקה!$B$59*(1+C$4))*(1-SUM(מודל_עסקה!$B$60:$B$63))-(מודל_עסקה!$B$54+מודל_עסקה!$B$17*$A5)</f>
        <v/>
      </c>
      <c r="D5" s="11">
        <f>(מודל_עסקה!$B$59*(1+D$4))*(1-SUM(מודל_עסקה!$B$60:$B$63))-(מודל_עסקה!$B$54+מודל_עסקה!$B$17*$A5)</f>
        <v/>
      </c>
      <c r="E5" s="11">
        <f>(מודל_עסקה!$B$59*(1+E$4))*(1-SUM(מודל_עסקה!$B$60:$B$63))-(מודל_עסקה!$B$54+מודל_עסקה!$B$17*$A5)</f>
        <v/>
      </c>
      <c r="F5" s="11">
        <f>(מודל_עסקה!$B$59*(1+F$4))*(1-SUM(מודל_עסקה!$B$60:$B$63))-(מודל_עסקה!$B$54+מודל_עסקה!$B$17*$A5)</f>
        <v/>
      </c>
    </row>
    <row r="6">
      <c r="A6" s="23" t="n">
        <v>0</v>
      </c>
      <c r="B6" s="11">
        <f>(מודל_עסקה!$B$59*(1+B$4))*(1-SUM(מודל_עסקה!$B$60:$B$63))-(מודל_עסקה!$B$54+מודל_עסקה!$B$17*$A6)</f>
        <v/>
      </c>
      <c r="C6" s="11">
        <f>(מודל_עסקה!$B$59*(1+C$4))*(1-SUM(מודל_עסקה!$B$60:$B$63))-(מודל_עסקה!$B$54+מודל_עסקה!$B$17*$A6)</f>
        <v/>
      </c>
      <c r="D6" s="11">
        <f>(מודל_עסקה!$B$59*(1+D$4))*(1-SUM(מודל_עסקה!$B$60:$B$63))-(מודל_עסקה!$B$54+מודל_עסקה!$B$17*$A6)</f>
        <v/>
      </c>
      <c r="E6" s="11">
        <f>(מודל_עסקה!$B$59*(1+E$4))*(1-SUM(מודל_עסקה!$B$60:$B$63))-(מודל_עסקה!$B$54+מודל_עסקה!$B$17*$A6)</f>
        <v/>
      </c>
      <c r="F6" s="11">
        <f>(מודל_עסקה!$B$59*(1+F$4))*(1-SUM(מודל_עסקה!$B$60:$B$63))-(מודל_עסקה!$B$54+מודל_עסקה!$B$17*$A6)</f>
        <v/>
      </c>
    </row>
    <row r="7">
      <c r="A7" s="23" t="n">
        <v>0.1000000000000001</v>
      </c>
      <c r="B7" s="11">
        <f>(מודל_עסקה!$B$59*(1+B$4))*(1-SUM(מודל_עסקה!$B$60:$B$63))-(מודל_עסקה!$B$54+מודל_עסקה!$B$17*$A7)</f>
        <v/>
      </c>
      <c r="C7" s="11">
        <f>(מודל_עסקה!$B$59*(1+C$4))*(1-SUM(מודל_עסקה!$B$60:$B$63))-(מודל_עסקה!$B$54+מודל_עסקה!$B$17*$A7)</f>
        <v/>
      </c>
      <c r="D7" s="11">
        <f>(מודל_עסקה!$B$59*(1+D$4))*(1-SUM(מודל_עסקה!$B$60:$B$63))-(מודל_עסקה!$B$54+מודל_עסקה!$B$17*$A7)</f>
        <v/>
      </c>
      <c r="E7" s="11">
        <f>(מודל_עסקה!$B$59*(1+E$4))*(1-SUM(מודל_עסקה!$B$60:$B$63))-(מודל_עסקה!$B$54+מודל_עסקה!$B$17*$A7)</f>
        <v/>
      </c>
      <c r="F7" s="11">
        <f>(מודל_עסקה!$B$59*(1+F$4))*(1-SUM(מודל_עסקה!$B$60:$B$63))-(מודל_עסקה!$B$54+מודל_עסקה!$B$17*$A7)</f>
        <v/>
      </c>
    </row>
    <row r="8">
      <c r="A8" s="23" t="n">
        <v>0.2</v>
      </c>
      <c r="B8" s="11">
        <f>(מודל_עסקה!$B$59*(1+B$4))*(1-SUM(מודל_עסקה!$B$60:$B$63))-(מודל_עסקה!$B$54+מודל_עסקה!$B$17*$A8)</f>
        <v/>
      </c>
      <c r="C8" s="11">
        <f>(מודל_עסקה!$B$59*(1+C$4))*(1-SUM(מודל_עסקה!$B$60:$B$63))-(מודל_עסקה!$B$54+מודל_עסקה!$B$17*$A8)</f>
        <v/>
      </c>
      <c r="D8" s="11">
        <f>(מודל_עסקה!$B$59*(1+D$4))*(1-SUM(מודל_עסקה!$B$60:$B$63))-(מודל_עסקה!$B$54+מודל_עסקה!$B$17*$A8)</f>
        <v/>
      </c>
      <c r="E8" s="11">
        <f>(מודל_עסקה!$B$59*(1+E$4))*(1-SUM(מודל_עסקה!$B$60:$B$63))-(מודל_עסקה!$B$54+מודל_עסקה!$B$17*$A8)</f>
        <v/>
      </c>
      <c r="F8" s="11">
        <f>(מודל_עסקה!$B$59*(1+F$4))*(1-SUM(מודל_עסקה!$B$60:$B$63))-(מודל_עסקה!$B$54+מודל_עסקה!$B$17*$A8)</f>
        <v/>
      </c>
    </row>
    <row r="9">
      <c r="A9" s="23" t="n">
        <v>0.3</v>
      </c>
      <c r="B9" s="11">
        <f>(מודל_עסקה!$B$59*(1+B$4))*(1-SUM(מודל_עסקה!$B$60:$B$63))-(מודל_עסקה!$B$54+מודל_עסקה!$B$17*$A9)</f>
        <v/>
      </c>
      <c r="C9" s="11">
        <f>(מודל_עסקה!$B$59*(1+C$4))*(1-SUM(מודל_עסקה!$B$60:$B$63))-(מודל_עסקה!$B$54+מודל_עסקה!$B$17*$A9)</f>
        <v/>
      </c>
      <c r="D9" s="11">
        <f>(מודל_עסקה!$B$59*(1+D$4))*(1-SUM(מודל_עסקה!$B$60:$B$63))-(מודל_עסקה!$B$54+מודל_עסקה!$B$17*$A9)</f>
        <v/>
      </c>
      <c r="E9" s="11">
        <f>(מודל_עסקה!$B$59*(1+E$4))*(1-SUM(מודל_עסקה!$B$60:$B$63))-(מודל_עסקה!$B$54+מודל_עסקה!$B$17*$A9)</f>
        <v/>
      </c>
      <c r="F9" s="11">
        <f>(מודל_עסקה!$B$59*(1+F$4))*(1-SUM(מודל_עסקה!$B$60:$B$63))-(מודל_עסקה!$B$54+מודל_עסקה!$B$17*$A9)</f>
        <v/>
      </c>
    </row>
    <row r="10">
      <c r="A10" s="23" t="n">
        <v>0.3999999999999999</v>
      </c>
      <c r="B10" s="11">
        <f>(מודל_עסקה!$B$59*(1+B$4))*(1-SUM(מודל_עסקה!$B$60:$B$63))-(מודל_עסקה!$B$54+מודל_עסקה!$B$17*$A10)</f>
        <v/>
      </c>
      <c r="C10" s="11">
        <f>(מודל_עסקה!$B$59*(1+C$4))*(1-SUM(מודל_עסקה!$B$60:$B$63))-(מודל_עסקה!$B$54+מודל_עסקה!$B$17*$A10)</f>
        <v/>
      </c>
      <c r="D10" s="11">
        <f>(מודל_עסקה!$B$59*(1+D$4))*(1-SUM(מודל_עסקה!$B$60:$B$63))-(מודל_עסקה!$B$54+מודל_עסקה!$B$17*$A10)</f>
        <v/>
      </c>
      <c r="E10" s="11">
        <f>(מודל_עסקה!$B$59*(1+E$4))*(1-SUM(מודל_עסקה!$B$60:$B$63))-(מודל_עסקה!$B$54+מודל_עסקה!$B$17*$A10)</f>
        <v/>
      </c>
      <c r="F10" s="11">
        <f>(מודל_עסקה!$B$59*(1+F$4))*(1-SUM(מודל_עסקה!$B$60:$B$63))-(מודל_עסקה!$B$54+מודל_עסקה!$B$17*$A10)</f>
        <v/>
      </c>
    </row>
    <row r="13">
      <c r="A13" s="24" t="inlineStr">
        <is>
          <t>בסיס להשוואה: רווח גולמי במודל</t>
        </is>
      </c>
      <c r="B13" s="25">
        <f>מודל_עסקה!B69</f>
        <v/>
      </c>
    </row>
    <row r="15">
      <c r="A15" s="1" t="inlineStr">
        <is>
          <t>רגישות לדריפט שוק (על אותה החזקה)</t>
        </is>
      </c>
    </row>
    <row r="16">
      <c r="A16" s="3" t="inlineStr">
        <is>
          <t>שוק ($/sqft שנתי)</t>
        </is>
      </c>
      <c r="B16" s="3" t="inlineStr">
        <is>
          <t>שינוי ב-ARV</t>
        </is>
      </c>
      <c r="C16" s="3" t="inlineStr">
        <is>
          <t>רווח מתוקן</t>
        </is>
      </c>
    </row>
    <row r="17">
      <c r="A17" s="5" t="inlineStr">
        <is>
          <t>קנזס סיטי  +8.0%</t>
        </is>
      </c>
      <c r="B17" s="11">
        <f>מודל_עסקה!$B$8*0.08*מודל_עסקה!$B$30/12</f>
        <v/>
      </c>
      <c r="C17" s="11">
        <f>מודל_עסקה!$B$69+B17*(1-SUM(מודל_עסקה!$B$60:$B$63))-(מודל_עסקה!$B$59-מודל_עסקה!$B$8)*(1-SUM(מודל_עסקה!$B$60:$B$63))</f>
        <v/>
      </c>
    </row>
    <row r="18">
      <c r="A18" s="5" t="inlineStr">
        <is>
          <t>סנט לואיס  +11.1%</t>
        </is>
      </c>
      <c r="B18" s="11">
        <f>מודל_עסקה!$B$8*0.111*מודל_עסקה!$B$30/12</f>
        <v/>
      </c>
      <c r="C18" s="11">
        <f>מודל_עסקה!$B$69+B18*(1-SUM(מודל_עסקה!$B$60:$B$63))-(מודל_עסקה!$B$59-מודל_עסקה!$B$8)*(1-SUM(מודל_עסקה!$B$60:$B$63))</f>
        <v/>
      </c>
    </row>
    <row r="19">
      <c r="A19" s="5" t="inlineStr">
        <is>
          <t>אינדיאנפוליס  +0.4%</t>
        </is>
      </c>
      <c r="B19" s="11">
        <f>מודל_עסקה!$B$8*0.004*מודל_עסקה!$B$30/12</f>
        <v/>
      </c>
      <c r="C19" s="11">
        <f>מודל_עסקה!$B$69+B19*(1-SUM(מודל_עסקה!$B$60:$B$63))-(מודל_עסקה!$B$59-מודל_עסקה!$B$8)*(1-SUM(מודל_עסקה!$B$60:$B$63))</f>
        <v/>
      </c>
    </row>
    <row r="20">
      <c r="A20" s="5" t="inlineStr">
        <is>
          <t>קליבלנד  +1.0%</t>
        </is>
      </c>
      <c r="B20" s="11">
        <f>מודל_עסקה!$B$8*0.01*מודל_עסקה!$B$30/12</f>
        <v/>
      </c>
      <c r="C20" s="11">
        <f>מודל_עסקה!$B$69+B20*(1-SUM(מודל_עסקה!$B$60:$B$63))-(מודל_עסקה!$B$59-מודל_עסקה!$B$8)*(1-SUM(מודל_עסקה!$B$60:$B$63))</f>
        <v/>
      </c>
    </row>
    <row r="21">
      <c r="A21" s="5" t="inlineStr">
        <is>
          <t>קולומבוס OH  −0.5%</t>
        </is>
      </c>
      <c r="B21" s="11">
        <f>מודל_עסקה!$B$8*-0.005*מודל_עסקה!$B$30/12</f>
        <v/>
      </c>
      <c r="C21" s="11">
        <f>מודל_עסקה!$B$69+B21*(1-SUM(מודל_עסקה!$B$60:$B$63))-(מודל_עסקה!$B$59-מודל_עסקה!$B$8)*(1-SUM(מודל_עסקה!$B$60:$B$63))</f>
        <v/>
      </c>
    </row>
    <row r="22">
      <c r="A22" s="5" t="inlineStr">
        <is>
          <t>ממפיס  −8.6%</t>
        </is>
      </c>
      <c r="B22" s="11">
        <f>מודל_עסקה!$B$8*-0.086*מודל_עסקה!$B$30/12</f>
        <v/>
      </c>
      <c r="C22" s="11">
        <f>מודל_עסקה!$B$69+B22*(1-SUM(מודל_עסקה!$B$60:$B$63))-(מודל_עסקה!$B$59-מודל_עסקה!$B$8)*(1-SUM(מודל_עסקה!$B$60:$B$63))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5" customWidth="1" min="3" max="3"/>
    <col width="14" customWidth="1" min="4" max="4"/>
    <col width="11" customWidth="1" min="5" max="5"/>
    <col width="9" customWidth="1" min="6" max="6"/>
    <col width="13" customWidth="1" min="7" max="7"/>
    <col width="7" customWidth="1" min="8" max="8"/>
    <col width="13" customWidth="1" min="9" max="9"/>
    <col width="13" customWidth="1" min="10" max="10"/>
    <col width="10" customWidth="1" min="11" max="11"/>
    <col width="13" customWidth="1" min="12" max="12"/>
    <col width="11" customWidth="1" min="13" max="13"/>
    <col width="12" customWidth="1" min="14" max="14"/>
  </cols>
  <sheetData>
    <row r="1">
      <c r="A1" s="1" t="inlineStr">
        <is>
          <t>זיפים באינדיאנפוליס — Redfin, יולי 2026</t>
        </is>
      </c>
    </row>
    <row r="2">
      <c r="A2" s="2" t="inlineStr">
        <is>
          <t>ממוין: BUY BOX ← WATCH ← AVOID.  המדד הקובע לפליפר הוא שינוי $/sqft, לא מדיאן המחיר.</t>
        </is>
      </c>
    </row>
    <row r="4">
      <c r="A4" s="26" t="inlineStr">
        <is>
          <t>ZIP</t>
        </is>
      </c>
      <c r="B4" s="26" t="inlineStr">
        <is>
          <t>שכונה / טאונשיפ</t>
        </is>
      </c>
      <c r="C4" s="26" t="inlineStr">
        <is>
          <t>סיווג</t>
        </is>
      </c>
      <c r="D4" s="26" t="inlineStr">
        <is>
          <t>מדיאן מכירה</t>
        </is>
      </c>
      <c r="E4" s="26" t="inlineStr">
        <is>
          <t>שינוי שנתי</t>
        </is>
      </c>
      <c r="F4" s="26" t="inlineStr">
        <is>
          <t>$/sqft</t>
        </is>
      </c>
      <c r="G4" s="26" t="inlineStr">
        <is>
          <t>שינוי $/sqft</t>
        </is>
      </c>
      <c r="H4" s="26" t="inlineStr">
        <is>
          <t>DOM</t>
        </is>
      </c>
      <c r="I4" s="26" t="inlineStr">
        <is>
          <t>מכירה/מחירון</t>
        </is>
      </c>
      <c r="J4" s="26" t="inlineStr">
        <is>
          <t>% מעל מחירון</t>
        </is>
      </c>
      <c r="K4" s="26" t="inlineStr">
        <is>
          <t>Compete</t>
        </is>
      </c>
      <c r="L4" s="26" t="inlineStr">
        <is>
          <t>עסקאות/חודש</t>
        </is>
      </c>
      <c r="M4" s="26" t="inlineStr">
        <is>
          <t>שנת בנייה</t>
        </is>
      </c>
      <c r="N4" s="26" t="inlineStr">
        <is>
          <t>RRP עופרת?</t>
        </is>
      </c>
    </row>
    <row r="5">
      <c r="A5" s="27" t="inlineStr">
        <is>
          <t>46236</t>
        </is>
      </c>
      <c r="B5" s="27" t="inlineStr">
        <is>
          <t>Geist</t>
        </is>
      </c>
      <c r="C5" s="27" t="inlineStr">
        <is>
          <t>BUY BOX</t>
        </is>
      </c>
      <c r="D5" s="28" t="n">
        <v>339925</v>
      </c>
      <c r="E5" s="29" t="n">
        <v>-0.02</v>
      </c>
      <c r="F5" s="28" t="n">
        <v>182</v>
      </c>
      <c r="G5" s="29" t="n">
        <v>0.152</v>
      </c>
      <c r="H5" s="27" t="n">
        <v>18</v>
      </c>
      <c r="I5" s="29" t="n">
        <v>0.994</v>
      </c>
      <c r="J5" s="29" t="n">
        <v>0.281</v>
      </c>
      <c r="K5" s="27" t="n">
        <v>81</v>
      </c>
      <c r="L5" s="27" t="n">
        <v>143</v>
      </c>
      <c r="M5" s="27" t="n">
        <v>1993</v>
      </c>
      <c r="N5" s="27">
        <f>IF(M5&lt;1978,"כן","לא")</f>
        <v/>
      </c>
    </row>
    <row r="6">
      <c r="A6" s="27" t="inlineStr">
        <is>
          <t>46217</t>
        </is>
      </c>
      <c r="B6" s="27" t="inlineStr">
        <is>
          <t>Southport / Perry</t>
        </is>
      </c>
      <c r="C6" s="27" t="inlineStr">
        <is>
          <t>BUY BOX</t>
        </is>
      </c>
      <c r="D6" s="28" t="n">
        <v>260942</v>
      </c>
      <c r="E6" s="29" t="n">
        <v>0.065</v>
      </c>
      <c r="F6" s="28" t="n">
        <v>145</v>
      </c>
      <c r="G6" s="29" t="n">
        <v>0.014</v>
      </c>
      <c r="H6" s="27" t="n">
        <v>17</v>
      </c>
      <c r="I6" s="29" t="n">
        <v>0.987</v>
      </c>
      <c r="J6" s="29" t="n">
        <v>0.216</v>
      </c>
      <c r="K6" s="27" t="n">
        <v>80</v>
      </c>
      <c r="L6" s="27" t="n">
        <v>152</v>
      </c>
      <c r="M6" s="27" t="n">
        <v>1990</v>
      </c>
      <c r="N6" s="27">
        <f>IF(M6&lt;1978,"כן","לא")</f>
        <v/>
      </c>
    </row>
    <row r="7">
      <c r="A7" s="27" t="inlineStr">
        <is>
          <t>46228</t>
        </is>
      </c>
      <c r="B7" s="27" t="inlineStr">
        <is>
          <t>Crooked Creek</t>
        </is>
      </c>
      <c r="C7" s="27" t="inlineStr">
        <is>
          <t>BUY BOX</t>
        </is>
      </c>
      <c r="D7" s="28" t="n">
        <v>277938</v>
      </c>
      <c r="E7" s="29" t="n">
        <v>-0.013</v>
      </c>
      <c r="F7" s="28" t="n">
        <v>152</v>
      </c>
      <c r="G7" s="29" t="n">
        <v>0.192</v>
      </c>
      <c r="H7" s="27" t="n">
        <v>10</v>
      </c>
      <c r="I7" s="29" t="n">
        <v>0.993</v>
      </c>
      <c r="J7" s="29" t="n">
        <v>0.207</v>
      </c>
      <c r="K7" s="27" t="n">
        <v>81</v>
      </c>
      <c r="L7" s="27" t="n">
        <v>60</v>
      </c>
      <c r="M7" s="27" t="n">
        <v>1968</v>
      </c>
      <c r="N7" s="27">
        <f>IF(M7&lt;1978,"כן","לא")</f>
        <v/>
      </c>
    </row>
    <row r="8">
      <c r="A8" s="27" t="inlineStr">
        <is>
          <t>46224</t>
        </is>
      </c>
      <c r="B8" s="27" t="inlineStr">
        <is>
          <t>Speedway</t>
        </is>
      </c>
      <c r="C8" s="27" t="inlineStr">
        <is>
          <t>BUY BOX</t>
        </is>
      </c>
      <c r="D8" s="28" t="n">
        <v>219951</v>
      </c>
      <c r="E8" s="29" t="n">
        <v>-0.06</v>
      </c>
      <c r="F8" s="28" t="n">
        <v>144</v>
      </c>
      <c r="G8" s="29" t="n">
        <v>0.032</v>
      </c>
      <c r="H8" s="27" t="n">
        <v>13</v>
      </c>
      <c r="I8" s="29" t="n">
        <v>0.999</v>
      </c>
      <c r="J8" s="29" t="n">
        <v>0.297</v>
      </c>
      <c r="K8" s="27" t="n">
        <v>83</v>
      </c>
      <c r="L8" s="27" t="n">
        <v>66</v>
      </c>
      <c r="M8" s="27" t="n">
        <v>1968</v>
      </c>
      <c r="N8" s="27">
        <f>IF(M8&lt;1978,"כן","לא")</f>
        <v/>
      </c>
    </row>
    <row r="9">
      <c r="A9" s="27" t="inlineStr">
        <is>
          <t>46229</t>
        </is>
      </c>
      <c r="B9" s="27" t="inlineStr">
        <is>
          <t>Cumberland</t>
        </is>
      </c>
      <c r="C9" s="27" t="inlineStr">
        <is>
          <t>BUY BOX</t>
        </is>
      </c>
      <c r="D9" s="28" t="n">
        <v>222701</v>
      </c>
      <c r="E9" s="29" t="n">
        <v>-0.034</v>
      </c>
      <c r="F9" s="28" t="n">
        <v>144</v>
      </c>
      <c r="G9" s="29" t="n">
        <v>0.021</v>
      </c>
      <c r="H9" s="27" t="n">
        <v>19</v>
      </c>
      <c r="I9" s="29" t="n">
        <v>0.991</v>
      </c>
      <c r="J9" s="29" t="n">
        <v>0.298</v>
      </c>
      <c r="K9" s="27" t="n">
        <v>76</v>
      </c>
      <c r="L9" s="27" t="n">
        <v>107</v>
      </c>
      <c r="M9" s="27" t="n">
        <v>1978</v>
      </c>
      <c r="N9" s="27">
        <f>IF(M9&lt;1978,"כן","לא")</f>
        <v/>
      </c>
    </row>
    <row r="10">
      <c r="A10" s="27" t="inlineStr">
        <is>
          <t>46237</t>
        </is>
      </c>
      <c r="B10" s="27" t="inlineStr">
        <is>
          <t>Perry SE</t>
        </is>
      </c>
      <c r="C10" s="27" t="inlineStr">
        <is>
          <t>BUY BOX</t>
        </is>
      </c>
      <c r="D10" s="28" t="n">
        <v>281687</v>
      </c>
      <c r="E10" s="29" t="n">
        <v>0.043</v>
      </c>
      <c r="F10" s="28" t="n">
        <v>152</v>
      </c>
      <c r="G10" s="29" t="n">
        <v>-0.003</v>
      </c>
      <c r="H10" s="27" t="n">
        <v>29</v>
      </c>
      <c r="I10" s="29" t="n">
        <v>0.989</v>
      </c>
      <c r="J10" s="29" t="n">
        <v>0.165</v>
      </c>
      <c r="K10" s="27" t="n">
        <v>73</v>
      </c>
      <c r="L10" s="27" t="n">
        <v>199</v>
      </c>
      <c r="M10" s="27" t="n">
        <v>1995</v>
      </c>
      <c r="N10" s="27">
        <f>IF(M10&lt;1978,"כן","לא")</f>
        <v/>
      </c>
    </row>
    <row r="11">
      <c r="A11" s="27" t="inlineStr">
        <is>
          <t>46219</t>
        </is>
      </c>
      <c r="B11" s="27" t="inlineStr">
        <is>
          <t>Irvington</t>
        </is>
      </c>
      <c r="C11" s="27" t="inlineStr">
        <is>
          <t>BUY BOX</t>
        </is>
      </c>
      <c r="D11" s="28" t="n">
        <v>204954</v>
      </c>
      <c r="E11" s="29" t="n">
        <v>-0.047</v>
      </c>
      <c r="F11" s="28" t="n">
        <v>114</v>
      </c>
      <c r="G11" s="29" t="n">
        <v>0.056</v>
      </c>
      <c r="H11" s="27" t="n">
        <v>24</v>
      </c>
      <c r="I11" s="29" t="n">
        <v>0.983</v>
      </c>
      <c r="J11" s="29" t="n">
        <v>0.204</v>
      </c>
      <c r="K11" s="27" t="n">
        <v>75</v>
      </c>
      <c r="L11" s="27" t="n">
        <v>166</v>
      </c>
      <c r="M11" s="27" t="n">
        <v>1957</v>
      </c>
      <c r="N11" s="27">
        <f>IF(M11&lt;1978,"כן","לא")</f>
        <v/>
      </c>
    </row>
    <row r="12">
      <c r="A12" s="27" t="inlineStr">
        <is>
          <t>46107</t>
        </is>
      </c>
      <c r="B12" s="27" t="inlineStr">
        <is>
          <t>Beech Grove</t>
        </is>
      </c>
      <c r="C12" s="27" t="inlineStr">
        <is>
          <t>BUY BOX</t>
        </is>
      </c>
      <c r="D12" s="28" t="n">
        <v>199830</v>
      </c>
      <c r="E12" s="29" t="n">
        <v>-0.036</v>
      </c>
      <c r="F12" s="28" t="n">
        <v>134</v>
      </c>
      <c r="G12" s="29" t="n">
        <v>0.19</v>
      </c>
      <c r="H12" s="27" t="n">
        <v>15</v>
      </c>
      <c r="I12" s="29" t="n">
        <v>1.001</v>
      </c>
      <c r="J12" s="29" t="n">
        <v>0.232</v>
      </c>
      <c r="K12" s="27" t="n">
        <v>84</v>
      </c>
      <c r="L12" s="27" t="n">
        <v>58</v>
      </c>
      <c r="M12" s="27" t="n">
        <v>1962</v>
      </c>
      <c r="N12" s="27">
        <f>IF(M12&lt;1978,"כן","לא")</f>
        <v/>
      </c>
    </row>
    <row r="13">
      <c r="A13" s="30" t="inlineStr">
        <is>
          <t>46208</t>
        </is>
      </c>
      <c r="B13" s="30" t="inlineStr">
        <is>
          <t>Butler-Tarkington</t>
        </is>
      </c>
      <c r="C13" s="30" t="inlineStr">
        <is>
          <t>גבולי</t>
        </is>
      </c>
      <c r="D13" s="11" t="n">
        <v>232948</v>
      </c>
      <c r="E13" s="17" t="n">
        <v>-0.109</v>
      </c>
      <c r="F13" s="11" t="n">
        <v>118</v>
      </c>
      <c r="G13" s="17" t="n">
        <v>0.135</v>
      </c>
      <c r="H13" s="30" t="n">
        <v>33</v>
      </c>
      <c r="I13" s="17" t="n">
        <v>0.976</v>
      </c>
      <c r="J13" s="17" t="n">
        <v>0.259</v>
      </c>
      <c r="K13" s="30" t="n">
        <v>59</v>
      </c>
      <c r="L13" s="30" t="n">
        <v>119</v>
      </c>
      <c r="M13" s="30" t="n">
        <v>1939</v>
      </c>
      <c r="N13" s="30">
        <f>IF(M13&lt;1978,"כן","לא")</f>
        <v/>
      </c>
    </row>
    <row r="14">
      <c r="A14" s="30" t="inlineStr">
        <is>
          <t>46240</t>
        </is>
      </c>
      <c r="B14" s="30" t="inlineStr">
        <is>
          <t>Nora / N Meridian</t>
        </is>
      </c>
      <c r="C14" s="30" t="inlineStr">
        <is>
          <t>BUY BOX צפון</t>
        </is>
      </c>
      <c r="D14" s="11" t="n">
        <v>405910</v>
      </c>
      <c r="E14" s="17" t="n">
        <v>-0.014</v>
      </c>
      <c r="F14" s="11" t="n">
        <v>216</v>
      </c>
      <c r="G14" s="17" t="n">
        <v>0.024</v>
      </c>
      <c r="H14" s="30" t="n">
        <v>14</v>
      </c>
      <c r="I14" s="17" t="n">
        <v>0.987</v>
      </c>
      <c r="J14" s="17" t="n">
        <v>0.284</v>
      </c>
      <c r="K14" s="30" t="n">
        <v>76</v>
      </c>
      <c r="L14" s="30" t="n">
        <v>83</v>
      </c>
      <c r="M14" s="30" t="n">
        <v>1979</v>
      </c>
      <c r="N14" s="30">
        <f>IF(M14&lt;1978,"כן","לא")</f>
        <v/>
      </c>
    </row>
    <row r="15">
      <c r="A15" s="30" t="inlineStr">
        <is>
          <t>46250</t>
        </is>
      </c>
      <c r="B15" s="30" t="inlineStr">
        <is>
          <t>Castleton</t>
        </is>
      </c>
      <c r="C15" s="30" t="inlineStr">
        <is>
          <t>WATCH</t>
        </is>
      </c>
      <c r="D15" s="11" t="n">
        <v>349922</v>
      </c>
      <c r="E15" s="17" t="n">
        <v>0.049</v>
      </c>
      <c r="F15" s="11" t="n">
        <v>173</v>
      </c>
      <c r="G15" s="17" t="n">
        <v>-0.025</v>
      </c>
      <c r="H15" s="30" t="n">
        <v>17</v>
      </c>
      <c r="I15" s="17" t="n">
        <v>0.993</v>
      </c>
      <c r="J15" s="17" t="n">
        <v>0.293</v>
      </c>
      <c r="K15" s="30" t="n">
        <v>79</v>
      </c>
      <c r="L15" s="30" t="n">
        <v>67</v>
      </c>
      <c r="M15" s="30" t="n">
        <v>1983</v>
      </c>
      <c r="N15" s="30">
        <f>IF(M15&lt;1978,"כן","לא")</f>
        <v/>
      </c>
    </row>
    <row r="16">
      <c r="A16" s="30" t="inlineStr">
        <is>
          <t>46220</t>
        </is>
      </c>
      <c r="B16" s="30" t="inlineStr">
        <is>
          <t>Broad Ripple</t>
        </is>
      </c>
      <c r="C16" s="30" t="inlineStr">
        <is>
          <t>BUY BOX צפון</t>
        </is>
      </c>
      <c r="D16" s="11" t="n">
        <v>364919</v>
      </c>
      <c r="E16" s="17" t="n">
        <v>0.021</v>
      </c>
      <c r="F16" s="11" t="n">
        <v>153</v>
      </c>
      <c r="G16" s="17" t="n">
        <v>-0.067</v>
      </c>
      <c r="H16" s="30" t="n">
        <v>9</v>
      </c>
      <c r="I16" s="17" t="n">
        <v>0.994</v>
      </c>
      <c r="J16" s="17" t="n">
        <v>0.35</v>
      </c>
      <c r="K16" s="30" t="n">
        <v>83</v>
      </c>
      <c r="L16" s="30" t="n">
        <v>229</v>
      </c>
      <c r="M16" s="30" t="n">
        <v>1959</v>
      </c>
      <c r="N16" s="30">
        <f>IF(M16&lt;1978,"כן","לא")</f>
        <v/>
      </c>
    </row>
    <row r="17">
      <c r="A17" s="30" t="inlineStr">
        <is>
          <t>46234</t>
        </is>
      </c>
      <c r="B17" s="30" t="inlineStr">
        <is>
          <t>Eagle Creek</t>
        </is>
      </c>
      <c r="C17" s="30" t="inlineStr">
        <is>
          <t>WATCH</t>
        </is>
      </c>
      <c r="D17" s="11" t="n">
        <v>304932</v>
      </c>
      <c r="E17" s="17" t="n">
        <v>-0.006</v>
      </c>
      <c r="F17" s="11" t="n">
        <v>147</v>
      </c>
      <c r="G17" s="17" t="n">
        <v>-0.08699999999999999</v>
      </c>
      <c r="H17" s="30" t="n">
        <v>10</v>
      </c>
      <c r="I17" s="17" t="n">
        <v>0.994</v>
      </c>
      <c r="J17" s="17" t="n">
        <v>0.222</v>
      </c>
      <c r="K17" s="30" t="n">
        <v>80</v>
      </c>
      <c r="L17" s="30" t="n">
        <v>102</v>
      </c>
      <c r="M17" s="30" t="n">
        <v>1994</v>
      </c>
      <c r="N17" s="30">
        <f>IF(M17&lt;1978,"כן","לא")</f>
        <v/>
      </c>
    </row>
    <row r="18">
      <c r="A18" s="30" t="inlineStr">
        <is>
          <t>46227</t>
        </is>
      </c>
      <c r="B18" s="30" t="inlineStr">
        <is>
          <t>Perry / Univ Hts</t>
        </is>
      </c>
      <c r="C18" s="30" t="inlineStr">
        <is>
          <t>WATCH</t>
        </is>
      </c>
      <c r="D18" s="11" t="n">
        <v>239897</v>
      </c>
      <c r="E18" s="17" t="n">
        <v>0.066</v>
      </c>
      <c r="F18" s="11" t="n">
        <v>123</v>
      </c>
      <c r="G18" s="17" t="n">
        <v>-0.174</v>
      </c>
      <c r="H18" s="30" t="n">
        <v>19</v>
      </c>
      <c r="I18" s="17" t="n">
        <v>0.977</v>
      </c>
      <c r="J18" s="17" t="n">
        <v>0.137</v>
      </c>
      <c r="K18" s="30" t="n">
        <v>74</v>
      </c>
      <c r="L18" s="30" t="n">
        <v>158</v>
      </c>
      <c r="M18" s="30" t="n">
        <v>1971</v>
      </c>
      <c r="N18" s="30">
        <f>IF(M18&lt;1978,"כן","לא")</f>
        <v/>
      </c>
    </row>
    <row r="19">
      <c r="A19" s="30" t="inlineStr">
        <is>
          <t>46205</t>
        </is>
      </c>
      <c r="B19" s="30" t="inlineStr">
        <is>
          <t>Meridian-Kessler</t>
        </is>
      </c>
      <c r="C19" s="30" t="inlineStr">
        <is>
          <t>BUY BOX צפון</t>
        </is>
      </c>
      <c r="D19" s="11" t="n">
        <v>319929</v>
      </c>
      <c r="E19" s="17" t="n">
        <v>0.042</v>
      </c>
      <c r="F19" s="11" t="n">
        <v>130</v>
      </c>
      <c r="G19" s="17" t="n">
        <v>-0.103</v>
      </c>
      <c r="H19" s="30" t="n">
        <v>19</v>
      </c>
      <c r="I19" s="17" t="n">
        <v>0.987</v>
      </c>
      <c r="J19" s="17" t="n">
        <v>0.185</v>
      </c>
      <c r="K19" s="30" t="n">
        <v>76</v>
      </c>
      <c r="L19" s="30" t="n">
        <v>166</v>
      </c>
      <c r="M19" s="30" t="n">
        <v>1943</v>
      </c>
      <c r="N19" s="30">
        <f>IF(M19&lt;1978,"כן","לא")</f>
        <v/>
      </c>
    </row>
    <row r="20">
      <c r="A20" s="30" t="inlineStr">
        <is>
          <t>46256</t>
        </is>
      </c>
      <c r="B20" s="30" t="inlineStr">
        <is>
          <t>Geist W</t>
        </is>
      </c>
      <c r="C20" s="30" t="inlineStr">
        <is>
          <t>WATCH</t>
        </is>
      </c>
      <c r="D20" s="11" t="n">
        <v>321429</v>
      </c>
      <c r="E20" s="17" t="n">
        <v>-0.082</v>
      </c>
      <c r="F20" s="11" t="n">
        <v>141</v>
      </c>
      <c r="G20" s="17" t="n">
        <v>-0.175</v>
      </c>
      <c r="H20" s="30" t="n">
        <v>16</v>
      </c>
      <c r="I20" s="17" t="n">
        <v>0.992</v>
      </c>
      <c r="J20" s="17" t="n">
        <v>0.242</v>
      </c>
      <c r="K20" s="30" t="n">
        <v>81</v>
      </c>
      <c r="L20" s="30" t="n">
        <v>119</v>
      </c>
      <c r="M20" s="30" t="n">
        <v>1985</v>
      </c>
      <c r="N20" s="30">
        <f>IF(M20&lt;1978,"כן","לא")</f>
        <v/>
      </c>
    </row>
    <row r="21">
      <c r="A21" s="30" t="inlineStr">
        <is>
          <t>46260</t>
        </is>
      </c>
      <c r="B21" s="30" t="inlineStr">
        <is>
          <t>Spring Mill</t>
        </is>
      </c>
      <c r="C21" s="30" t="inlineStr">
        <is>
          <t>BUY BOX צפון</t>
        </is>
      </c>
      <c r="D21" s="11" t="n">
        <v>344923</v>
      </c>
      <c r="E21" s="17" t="n">
        <v>0.03</v>
      </c>
      <c r="F21" s="11" t="n">
        <v>146</v>
      </c>
      <c r="G21" s="17" t="n">
        <v>-0.126</v>
      </c>
      <c r="H21" s="30" t="n">
        <v>14</v>
      </c>
      <c r="I21" s="17" t="n">
        <v>0.993</v>
      </c>
      <c r="J21" s="17" t="n">
        <v>0.269</v>
      </c>
      <c r="K21" s="30" t="n">
        <v>83</v>
      </c>
      <c r="L21" s="30" t="n">
        <v>111</v>
      </c>
      <c r="M21" s="30" t="n">
        <v>1974</v>
      </c>
      <c r="N21" s="30">
        <f>IF(M21&lt;1978,"כן","לא")</f>
        <v/>
      </c>
    </row>
    <row r="22">
      <c r="A22" s="30" t="inlineStr">
        <is>
          <t>46203</t>
        </is>
      </c>
      <c r="B22" s="30" t="inlineStr">
        <is>
          <t>Fountain Sq / Bates-H</t>
        </is>
      </c>
      <c r="C22" s="30" t="inlineStr">
        <is>
          <t>WATCH</t>
        </is>
      </c>
      <c r="D22" s="11" t="n">
        <v>199956</v>
      </c>
      <c r="E22" s="17" t="n">
        <v>-0.07000000000000001</v>
      </c>
      <c r="F22" s="11" t="n">
        <v>126</v>
      </c>
      <c r="G22" s="17" t="n">
        <v>-0.06</v>
      </c>
      <c r="H22" s="30" t="n">
        <v>27</v>
      </c>
      <c r="I22" s="17" t="n">
        <v>0.967</v>
      </c>
      <c r="J22" s="17" t="n">
        <v>0.164</v>
      </c>
      <c r="K22" s="30" t="n">
        <v>64</v>
      </c>
      <c r="L22" s="30" t="n">
        <v>213</v>
      </c>
      <c r="M22" s="30" t="n">
        <v>1957</v>
      </c>
      <c r="N22" s="30">
        <f>IF(M22&lt;1978,"כן","לא")</f>
        <v/>
      </c>
    </row>
    <row r="23">
      <c r="A23" s="30" t="inlineStr">
        <is>
          <t>46221</t>
        </is>
      </c>
      <c r="B23" s="30" t="inlineStr">
        <is>
          <t>SW / Mars Hill</t>
        </is>
      </c>
      <c r="C23" s="30" t="inlineStr">
        <is>
          <t>WATCH</t>
        </is>
      </c>
      <c r="D23" s="11" t="n">
        <v>219951</v>
      </c>
      <c r="E23" s="17" t="n">
        <v>-0.076</v>
      </c>
      <c r="F23" s="11" t="n">
        <v>141</v>
      </c>
      <c r="G23" s="17" t="n">
        <v>-0.044</v>
      </c>
      <c r="H23" s="30" t="n">
        <v>25</v>
      </c>
      <c r="I23" s="17" t="n">
        <v>0.976</v>
      </c>
      <c r="J23" s="17" t="n">
        <v>0.193</v>
      </c>
      <c r="K23" s="30" t="n">
        <v>75</v>
      </c>
      <c r="L23" s="30" t="n">
        <v>112</v>
      </c>
      <c r="M23" s="30" t="n">
        <v>1976</v>
      </c>
      <c r="N23" s="30">
        <f>IF(M23&lt;1978,"כן","לא")</f>
        <v/>
      </c>
    </row>
    <row r="24">
      <c r="A24" s="30" t="inlineStr">
        <is>
          <t>46254</t>
        </is>
      </c>
      <c r="B24" s="30" t="inlineStr">
        <is>
          <t>Eagle Creek N</t>
        </is>
      </c>
      <c r="C24" s="30" t="inlineStr">
        <is>
          <t>WATCH</t>
        </is>
      </c>
      <c r="D24" s="11" t="n">
        <v>214952</v>
      </c>
      <c r="E24" s="17" t="n">
        <v>-0.023</v>
      </c>
      <c r="F24" s="11" t="n">
        <v>146</v>
      </c>
      <c r="G24" s="17" t="n">
        <v>-0.02</v>
      </c>
      <c r="H24" s="30" t="n">
        <v>19</v>
      </c>
      <c r="I24" s="17" t="n">
        <v>0.979</v>
      </c>
      <c r="J24" s="17" t="n">
        <v>0.195</v>
      </c>
      <c r="K24" s="30" t="n">
        <v>80</v>
      </c>
      <c r="L24" s="30" t="n">
        <v>111</v>
      </c>
      <c r="M24" s="30" t="n">
        <v>1988</v>
      </c>
      <c r="N24" s="30">
        <f>IF(M24&lt;1978,"כן","לא")</f>
        <v/>
      </c>
    </row>
    <row r="25">
      <c r="A25" s="30" t="inlineStr">
        <is>
          <t>46235</t>
        </is>
      </c>
      <c r="B25" s="30" t="inlineStr">
        <is>
          <t>Lawrence E</t>
        </is>
      </c>
      <c r="C25" s="30" t="inlineStr">
        <is>
          <t>WATCH</t>
        </is>
      </c>
      <c r="D25" s="11" t="n">
        <v>234948</v>
      </c>
      <c r="E25" s="17" t="n">
        <v>-0.068</v>
      </c>
      <c r="F25" s="11" t="n">
        <v>131</v>
      </c>
      <c r="G25" s="17" t="n">
        <v>-0.015</v>
      </c>
      <c r="H25" s="30" t="n">
        <v>19</v>
      </c>
      <c r="I25" s="17" t="n">
        <v>0.979</v>
      </c>
      <c r="J25" s="17" t="n">
        <v>0.161</v>
      </c>
      <c r="K25" s="30" t="n">
        <v>71</v>
      </c>
      <c r="L25" s="30" t="n">
        <v>89</v>
      </c>
      <c r="M25" s="30" t="n">
        <v>1988</v>
      </c>
      <c r="N25" s="30">
        <f>IF(M25&lt;1978,"כן","לא")</f>
        <v/>
      </c>
    </row>
    <row r="26">
      <c r="A26" s="30" t="inlineStr">
        <is>
          <t>46231</t>
        </is>
      </c>
      <c r="B26" s="30" t="inlineStr">
        <is>
          <t>Ben Davis</t>
        </is>
      </c>
      <c r="C26" s="30" t="inlineStr">
        <is>
          <t>WATCH</t>
        </is>
      </c>
      <c r="D26" s="11" t="n">
        <v>259442</v>
      </c>
      <c r="E26" s="17" t="n">
        <v>0.053</v>
      </c>
      <c r="F26" s="11" t="n">
        <v>135</v>
      </c>
      <c r="G26" s="17" t="n">
        <v>0.042</v>
      </c>
      <c r="H26" s="30" t="n">
        <v>24</v>
      </c>
      <c r="I26" s="17" t="n">
        <v>0.977</v>
      </c>
      <c r="J26" s="17" t="n">
        <v>0.121</v>
      </c>
      <c r="K26" s="30" t="n">
        <v>58</v>
      </c>
      <c r="L26" s="30" t="n">
        <v>34</v>
      </c>
      <c r="M26" s="30" t="n">
        <v>2000</v>
      </c>
      <c r="N26" s="30">
        <f>IF(M26&lt;1978,"כן","לא")</f>
        <v/>
      </c>
    </row>
    <row r="27">
      <c r="A27" s="30" t="inlineStr">
        <is>
          <t>46239</t>
        </is>
      </c>
      <c r="B27" s="30" t="inlineStr">
        <is>
          <t>Wanamaker</t>
        </is>
      </c>
      <c r="C27" s="30" t="inlineStr">
        <is>
          <t>WATCH</t>
        </is>
      </c>
      <c r="D27" s="11" t="n">
        <v>309831</v>
      </c>
      <c r="E27" s="17" t="n">
        <v>-0.036</v>
      </c>
      <c r="F27" s="11" t="n">
        <v>143</v>
      </c>
      <c r="G27" s="17" t="n">
        <v>0.063</v>
      </c>
      <c r="H27" s="30" t="n">
        <v>39</v>
      </c>
      <c r="I27" s="17" t="n">
        <v>0.987</v>
      </c>
      <c r="J27" s="17" t="n">
        <v>0.157</v>
      </c>
      <c r="K27" s="30" t="n">
        <v>54</v>
      </c>
      <c r="L27" s="30" t="n">
        <v>229</v>
      </c>
      <c r="M27" s="30" t="n">
        <v>2002</v>
      </c>
      <c r="N27" s="30">
        <f>IF(M27&lt;1978,"כן","לא")</f>
        <v/>
      </c>
    </row>
    <row r="28">
      <c r="A28" s="30" t="inlineStr">
        <is>
          <t>46201</t>
        </is>
      </c>
      <c r="B28" s="30" t="inlineStr">
        <is>
          <t>Near Eastside</t>
        </is>
      </c>
      <c r="C28" s="30" t="inlineStr">
        <is>
          <t>WATCH</t>
        </is>
      </c>
      <c r="D28" s="11" t="n">
        <v>217502</v>
      </c>
      <c r="E28" s="17" t="n">
        <v>0.225</v>
      </c>
      <c r="F28" s="11" t="n">
        <v>90</v>
      </c>
      <c r="G28" s="17" t="n">
        <v>0.052</v>
      </c>
      <c r="H28" s="30" t="n">
        <v>20</v>
      </c>
      <c r="I28" s="17" t="n">
        <v>0.975</v>
      </c>
      <c r="J28" s="17" t="n">
        <v>0.253</v>
      </c>
      <c r="K28" s="30" t="n">
        <v>64</v>
      </c>
      <c r="L28" s="30" t="n">
        <v>195</v>
      </c>
      <c r="M28" s="30" t="n">
        <v>1939</v>
      </c>
      <c r="N28" s="30">
        <f>IF(M28&lt;1978,"כן","לא")</f>
        <v/>
      </c>
    </row>
    <row r="29">
      <c r="A29" s="30" t="inlineStr">
        <is>
          <t>46225</t>
        </is>
      </c>
      <c r="B29" s="30" t="inlineStr">
        <is>
          <t>Bates-Hendricks S</t>
        </is>
      </c>
      <c r="C29" s="30" t="inlineStr">
        <is>
          <t>WATCH</t>
        </is>
      </c>
      <c r="D29" s="11" t="n">
        <v>206454</v>
      </c>
      <c r="E29" s="17" t="n">
        <v>-0.244</v>
      </c>
      <c r="F29" s="11" t="n">
        <v>113</v>
      </c>
      <c r="G29" s="17" t="n">
        <v>0.165</v>
      </c>
      <c r="H29" s="30" t="n">
        <v>48</v>
      </c>
      <c r="I29" s="17" t="n">
        <v>0.96</v>
      </c>
      <c r="J29" s="17" t="n">
        <v>0.143</v>
      </c>
      <c r="K29" s="30" t="n">
        <v>59</v>
      </c>
      <c r="L29" s="30" t="n">
        <v>43</v>
      </c>
      <c r="M29" s="30" t="n">
        <v>1939</v>
      </c>
      <c r="N29" s="30">
        <f>IF(M29&lt;1978,"כן","לא")</f>
        <v/>
      </c>
    </row>
    <row r="30">
      <c r="A30" s="30" t="inlineStr">
        <is>
          <t>46259</t>
        </is>
      </c>
      <c r="B30" s="30" t="inlineStr">
        <is>
          <t>Acton</t>
        </is>
      </c>
      <c r="C30" s="30" t="inlineStr">
        <is>
          <t>מעל הטווח</t>
        </is>
      </c>
      <c r="D30" s="11" t="n">
        <v>386909</v>
      </c>
      <c r="E30" s="17" t="n">
        <v>0.06</v>
      </c>
      <c r="F30" s="11" t="n">
        <v>144</v>
      </c>
      <c r="G30" s="17" t="n">
        <v>0.116</v>
      </c>
      <c r="H30" s="30" t="n">
        <v>37</v>
      </c>
      <c r="I30" s="17" t="n">
        <v>0.982</v>
      </c>
      <c r="J30" s="17" t="n">
        <v>0.113</v>
      </c>
      <c r="K30" s="30" t="n">
        <v>65</v>
      </c>
      <c r="L30" s="30" t="n">
        <v>64</v>
      </c>
      <c r="M30" s="30" t="n">
        <v>2001</v>
      </c>
      <c r="N30" s="30">
        <f>IF(M30&lt;1978,"כן","לא")</f>
        <v/>
      </c>
    </row>
    <row r="31">
      <c r="A31" s="30" t="inlineStr">
        <is>
          <t>46216</t>
        </is>
      </c>
      <c r="B31" s="30" t="inlineStr">
        <is>
          <t>Fort Harrison</t>
        </is>
      </c>
      <c r="C31" s="30" t="inlineStr">
        <is>
          <t>נפח לא מספיק</t>
        </is>
      </c>
      <c r="D31" s="11" t="n">
        <v>272439</v>
      </c>
      <c r="E31" s="17" t="n">
        <v>-0.034</v>
      </c>
      <c r="F31" s="11" t="n">
        <v>166</v>
      </c>
      <c r="G31" s="17" t="n">
        <v>0.694</v>
      </c>
      <c r="H31" s="30" t="n">
        <v>12</v>
      </c>
      <c r="I31" s="17" t="n">
        <v>0.997</v>
      </c>
      <c r="J31" s="17" t="n">
        <v>0.25</v>
      </c>
      <c r="K31" s="30" t="n">
        <v>79</v>
      </c>
      <c r="L31" s="30" t="n">
        <v>8</v>
      </c>
      <c r="M31" s="30" t="n">
        <v>1997</v>
      </c>
      <c r="N31" s="30">
        <f>IF(M31&lt;1978,"כן","לא")</f>
        <v/>
      </c>
    </row>
    <row r="32">
      <c r="A32" s="31" t="inlineStr">
        <is>
          <t>46218</t>
        </is>
      </c>
      <c r="B32" s="31" t="inlineStr">
        <is>
          <t>Martindale-Brightwood</t>
        </is>
      </c>
      <c r="C32" s="31" t="inlineStr">
        <is>
          <t>AVOID</t>
        </is>
      </c>
      <c r="D32" s="32" t="n">
        <v>136970</v>
      </c>
      <c r="E32" s="33" t="n">
        <v>-0.052</v>
      </c>
      <c r="F32" s="32" t="n">
        <v>79</v>
      </c>
      <c r="G32" s="33" t="n">
        <v>-0.218</v>
      </c>
      <c r="H32" s="31" t="n">
        <v>19</v>
      </c>
      <c r="I32" s="33" t="n">
        <v>0.975</v>
      </c>
      <c r="J32" s="33" t="n">
        <v>0.316</v>
      </c>
      <c r="K32" s="31" t="n">
        <v>66</v>
      </c>
      <c r="L32" s="31" t="n">
        <v>114</v>
      </c>
      <c r="M32" s="31" t="n">
        <v>1955</v>
      </c>
      <c r="N32" s="31">
        <f>IF(M32&lt;1978,"כן","לא")</f>
        <v/>
      </c>
    </row>
    <row r="33">
      <c r="A33" s="31" t="inlineStr">
        <is>
          <t>46226</t>
        </is>
      </c>
      <c r="B33" s="31" t="inlineStr">
        <is>
          <t>Devington</t>
        </is>
      </c>
      <c r="C33" s="31" t="inlineStr">
        <is>
          <t>AVOID</t>
        </is>
      </c>
      <c r="D33" s="32" t="n">
        <v>174961</v>
      </c>
      <c r="E33" s="33" t="n">
        <v>-0.054</v>
      </c>
      <c r="F33" s="32" t="n">
        <v>114</v>
      </c>
      <c r="G33" s="33" t="n">
        <v>-0.081</v>
      </c>
      <c r="H33" s="31" t="n">
        <v>24</v>
      </c>
      <c r="I33" s="33" t="n">
        <v>0.975</v>
      </c>
      <c r="J33" s="33" t="n">
        <v>0.299</v>
      </c>
      <c r="K33" s="31" t="n">
        <v>76</v>
      </c>
      <c r="L33" s="31" t="n">
        <v>148</v>
      </c>
      <c r="M33" s="31" t="n">
        <v>1966</v>
      </c>
      <c r="N33" s="31">
        <f>IF(M33&lt;1978,"כן","לא")</f>
        <v/>
      </c>
    </row>
    <row r="34">
      <c r="A34" s="31" t="inlineStr">
        <is>
          <t>46241</t>
        </is>
      </c>
      <c r="B34" s="31" t="inlineStr">
        <is>
          <t>Airport / Mars Hill</t>
        </is>
      </c>
      <c r="C34" s="31" t="inlineStr">
        <is>
          <t>AVOID</t>
        </is>
      </c>
      <c r="D34" s="32" t="n">
        <v>174961</v>
      </c>
      <c r="E34" s="33" t="n">
        <v>0</v>
      </c>
      <c r="F34" s="32" t="n">
        <v>129</v>
      </c>
      <c r="G34" s="33" t="n">
        <v>-0.107</v>
      </c>
      <c r="H34" s="31" t="n">
        <v>18</v>
      </c>
      <c r="I34" s="33" t="n">
        <v>0.964</v>
      </c>
      <c r="J34" s="33" t="n">
        <v>0.2</v>
      </c>
      <c r="K34" s="31" t="n">
        <v>72</v>
      </c>
      <c r="L34" s="31" t="n">
        <v>82</v>
      </c>
      <c r="M34" s="31" t="n">
        <v>1966</v>
      </c>
      <c r="N34" s="31">
        <f>IF(M34&lt;1978,"כן","לא")</f>
        <v/>
      </c>
    </row>
    <row r="35">
      <c r="A35" s="31" t="inlineStr">
        <is>
          <t>46222</t>
        </is>
      </c>
      <c r="B35" s="31" t="inlineStr">
        <is>
          <t>Haughville</t>
        </is>
      </c>
      <c r="C35" s="31" t="inlineStr">
        <is>
          <t>AVOID</t>
        </is>
      </c>
      <c r="D35" s="32" t="n">
        <v>146342</v>
      </c>
      <c r="E35" s="33" t="n">
        <v>-0.024</v>
      </c>
      <c r="F35" s="32" t="n">
        <v>101</v>
      </c>
      <c r="G35" s="33" t="n">
        <v>0.135</v>
      </c>
      <c r="H35" s="31" t="n">
        <v>18</v>
      </c>
      <c r="I35" s="33" t="n">
        <v>0.972</v>
      </c>
      <c r="J35" s="33" t="n">
        <v>0.232</v>
      </c>
      <c r="K35" s="31" t="n">
        <v>74</v>
      </c>
      <c r="L35" s="31" t="n">
        <v>84</v>
      </c>
      <c r="M35" s="31" t="n">
        <v>1955</v>
      </c>
      <c r="N35" s="31">
        <f>IF(M35&lt;1978,"כן","לא")</f>
        <v/>
      </c>
    </row>
    <row r="36">
      <c r="A36" s="31" t="inlineStr">
        <is>
          <t>46204</t>
        </is>
      </c>
      <c r="B36" s="31" t="inlineStr">
        <is>
          <t>Downtown core</t>
        </is>
      </c>
      <c r="C36" s="31" t="inlineStr">
        <is>
          <t>AVOID</t>
        </is>
      </c>
      <c r="D36" s="32" t="n">
        <v>325428</v>
      </c>
      <c r="E36" s="33" t="n">
        <v>-0.114</v>
      </c>
      <c r="F36" s="32" t="n">
        <v>230</v>
      </c>
      <c r="G36" s="33" t="n">
        <v>-0.187</v>
      </c>
      <c r="H36" s="31" t="n">
        <v>79</v>
      </c>
      <c r="I36" s="33" t="n">
        <v>0.976</v>
      </c>
      <c r="J36" s="33" t="n">
        <v>0.042</v>
      </c>
      <c r="K36" s="31" t="n">
        <v>32</v>
      </c>
      <c r="L36" s="31" t="n">
        <v>25</v>
      </c>
      <c r="M36" s="31" t="n">
        <v>2009</v>
      </c>
      <c r="N36" s="31">
        <f>IF(M36&lt;1978,"כן","לא")</f>
        <v/>
      </c>
    </row>
    <row r="37">
      <c r="A37" s="31" t="inlineStr">
        <is>
          <t>46202</t>
        </is>
      </c>
      <c r="B37" s="31" t="inlineStr">
        <is>
          <t>Herron-Morton</t>
        </is>
      </c>
      <c r="C37" s="31" t="inlineStr">
        <is>
          <t>AVOID</t>
        </is>
      </c>
      <c r="D37" s="32" t="n">
        <v>462397</v>
      </c>
      <c r="E37" s="33" t="n">
        <v>0.051</v>
      </c>
      <c r="F37" s="32" t="n">
        <v>215</v>
      </c>
      <c r="G37" s="33" t="n">
        <v>-0.025</v>
      </c>
      <c r="H37" s="31" t="n">
        <v>35</v>
      </c>
      <c r="I37" s="33" t="n">
        <v>0.979</v>
      </c>
      <c r="J37" s="33" t="n">
        <v>0.12</v>
      </c>
      <c r="K37" s="31" t="n">
        <v>53</v>
      </c>
      <c r="L37" s="31" t="n">
        <v>103</v>
      </c>
      <c r="M37" s="31" t="n">
        <v>1969</v>
      </c>
      <c r="N37" s="31">
        <f>IF(M37&lt;1978,"כן","לא")</f>
        <v/>
      </c>
    </row>
    <row r="39">
      <c r="A39" s="2" t="inlineStr">
        <is>
          <t>מקור: redfin.com/zipcode/NNNNN/housing-market, נשלף 5.9.2026 · שנת בנייה: ACS 2020-2024 5-Yr, טבלה B25035</t>
        </is>
      </c>
    </row>
    <row r="40">
      <c r="A40" s="34" t="inlineStr">
        <is>
          <t>⚠️ 46216: 8 עסקאות בחודש — כל המדדים רעש. 46107: נתוני יוני, לא יולי.</t>
        </is>
      </c>
    </row>
    <row r="41">
      <c r="A41" s="34" t="inlineStr">
        <is>
          <t>⚠️ תבנית AVOID = $/sqft שלילי עם שיעור מכירות מעל המחירון שדווקא עולה. זו בדיוק התבנית של Bessemer 35020.</t>
        </is>
      </c>
    </row>
    <row r="42">
      <c r="A42" s="34" t="inlineStr">
        <is>
          <t>⚠️ מכירה של $250K-$350K במריון קאונטי דורשת 1,800-2,200 sqft, לא 1,400.</t>
        </is>
      </c>
    </row>
    <row r="43">
      <c r="A43" t="inlineStr">
        <is>
          <t>🟢 6.9.2026: 46220/46205/46260/46240 נוספו כשכבה צפונית אחרי בדיקה עמוקה (docs/בדיקה_זיפים_צפוניים.md). מדד מכירות חוזרות של אותו בית +3.5%-5.3% בשנה; הסימון WATCH על $/sqft של Redfin היה תמהיל.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52" customWidth="1" min="3" max="3"/>
  </cols>
  <sheetData>
    <row r="1">
      <c r="A1" s="1" t="inlineStr">
        <is>
          <t>מודל תיק — $500K</t>
        </is>
      </c>
    </row>
    <row r="3">
      <c r="A3" s="3" t="inlineStr">
        <is>
          <t>קלט</t>
        </is>
      </c>
      <c r="B3" s="4" t="n"/>
      <c r="C3" s="4" t="n"/>
    </row>
    <row r="4">
      <c r="A4" s="5" t="inlineStr">
        <is>
          <t>הון זמין</t>
        </is>
      </c>
      <c r="B4" s="9" t="n">
        <v>500000</v>
      </c>
    </row>
    <row r="5">
      <c r="A5" s="5" t="inlineStr">
        <is>
          <t>מזומן לעסקה</t>
        </is>
      </c>
      <c r="B5" s="35">
        <f>מודל_עסקה!B55</f>
        <v/>
      </c>
    </row>
    <row r="6">
      <c r="A6" s="5" t="inlineStr">
        <is>
          <t>עסקאות במקביל — תיאורטי</t>
        </is>
      </c>
      <c r="B6" s="21">
        <f>ROUNDDOWN(B4/B5,0)</f>
        <v/>
      </c>
    </row>
    <row r="7">
      <c r="A7" s="5" t="inlineStr">
        <is>
          <t>עסקאות במקביל — בפועל</t>
        </is>
      </c>
      <c r="B7" s="8">
        <f>MIN(B6,2)</f>
        <v/>
      </c>
      <c r="C7" s="2" t="inlineStr">
        <is>
          <t>שלב א': 2 במקביל. במזומן ההון הוא האילוץ (B6), לא הקיבולת התפעולית</t>
        </is>
      </c>
    </row>
    <row r="8">
      <c r="A8" s="5" t="inlineStr">
        <is>
          <t>מחזורים בשנה</t>
        </is>
      </c>
      <c r="B8" s="36">
        <f>מודל_עסקה!B31</f>
        <v/>
      </c>
    </row>
    <row r="9">
      <c r="A9" s="5" t="inlineStr">
        <is>
          <t>עסקאות בשנה</t>
        </is>
      </c>
      <c r="B9" s="14">
        <f>B7*B8</f>
        <v/>
      </c>
    </row>
    <row r="11">
      <c r="A11" s="3" t="inlineStr">
        <is>
          <t>רווח והפסד שנתי</t>
        </is>
      </c>
      <c r="B11" s="4" t="n"/>
      <c r="C11" s="4" t="n"/>
    </row>
    <row r="12">
      <c r="A12" s="5" t="inlineStr">
        <is>
          <t>רווח לעסקה</t>
        </is>
      </c>
      <c r="B12" s="35">
        <f>מודל_עסקה!B69</f>
        <v/>
      </c>
    </row>
    <row r="13">
      <c r="A13" s="5" t="inlineStr">
        <is>
          <t>רווח גולמי שנתי</t>
        </is>
      </c>
      <c r="B13" s="10">
        <f>B9*B12</f>
        <v/>
      </c>
    </row>
    <row r="14">
      <c r="A14" s="5" t="inlineStr">
        <is>
          <t>טיסות ולינה</t>
        </is>
      </c>
      <c r="B14" s="9" t="n">
        <v>15000</v>
      </c>
      <c r="C14" s="2" t="inlineStr">
        <is>
          <t>5 נסיעות בשנה</t>
        </is>
      </c>
    </row>
    <row r="15">
      <c r="A15" s="5" t="inlineStr">
        <is>
          <t>ישויות, הנהח"ש, ביטוח, משפטי</t>
        </is>
      </c>
      <c r="B15" s="9" t="n">
        <v>8000</v>
      </c>
    </row>
    <row r="16">
      <c r="A16" s="5" t="inlineStr">
        <is>
          <t>חברות CIREIA ורישוי</t>
        </is>
      </c>
      <c r="B16" s="9" t="n">
        <v>1500</v>
      </c>
    </row>
    <row r="17">
      <c r="A17" s="5" t="inlineStr">
        <is>
          <t>בלתי צפוי</t>
        </is>
      </c>
      <c r="B17" s="9" t="n">
        <v>10000</v>
      </c>
    </row>
    <row r="18">
      <c r="A18" s="5" t="inlineStr">
        <is>
          <t>סה"כ G&amp;A</t>
        </is>
      </c>
      <c r="B18" s="11">
        <f>SUM(B14:B17)</f>
        <v/>
      </c>
    </row>
    <row r="19">
      <c r="A19" s="5" t="inlineStr">
        <is>
          <t>רווח לפני מס</t>
        </is>
      </c>
      <c r="B19" s="18">
        <f>B13-B18</f>
        <v/>
      </c>
    </row>
    <row r="21">
      <c r="A21" s="3" t="inlineStr">
        <is>
          <t>מס ותשואה</t>
        </is>
      </c>
      <c r="B21" s="4" t="n"/>
      <c r="C21" s="4" t="n"/>
    </row>
    <row r="22">
      <c r="A22" s="5" t="inlineStr">
        <is>
          <t>שיעור מס אפקטיבי</t>
        </is>
      </c>
      <c r="B22" s="12" t="n">
        <v>0.37</v>
      </c>
      <c r="C22" s="2" t="inlineStr">
        <is>
          <t>⚠️ dealer status — פליפ הוא מלאי ⇒ הכנסה רגילה, לא רווח הון</t>
        </is>
      </c>
    </row>
    <row r="23">
      <c r="A23" s="5" t="inlineStr">
        <is>
          <t>מס</t>
        </is>
      </c>
      <c r="B23" s="11">
        <f>B19*B22</f>
        <v/>
      </c>
    </row>
    <row r="24">
      <c r="A24" s="5" t="inlineStr">
        <is>
          <t>רווח נטו אחרי מס</t>
        </is>
      </c>
      <c r="B24" s="18">
        <f>B19-B23</f>
        <v/>
      </c>
    </row>
    <row r="25">
      <c r="A25" s="5" t="inlineStr">
        <is>
          <t>הון מושקע בפועל</t>
        </is>
      </c>
      <c r="B25" s="11">
        <f>B7*B5</f>
        <v/>
      </c>
    </row>
    <row r="26">
      <c r="A26" s="5" t="inlineStr">
        <is>
          <t>הון לא מחויב</t>
        </is>
      </c>
      <c r="B26" s="11">
        <f>B4-B25</f>
        <v/>
      </c>
    </row>
    <row r="27">
      <c r="A27" s="5" t="inlineStr">
        <is>
          <t>תשואה על ההון המושקע</t>
        </is>
      </c>
      <c r="B27" s="19">
        <f>B19/B25</f>
        <v/>
      </c>
    </row>
    <row r="28">
      <c r="A28" s="5" t="inlineStr">
        <is>
          <t>תשואה על כל ה-$500K (לפני מס)</t>
        </is>
      </c>
      <c r="B28" s="19">
        <f>B19/B4</f>
        <v/>
      </c>
    </row>
    <row r="29">
      <c r="A29" s="5" t="inlineStr">
        <is>
          <t>תשואה על כל ה-$500K (אחרי מס)</t>
        </is>
      </c>
      <c r="B29" s="19">
        <f>B24/B4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76" customWidth="1" min="3" max="3"/>
  </cols>
  <sheetData>
    <row r="1">
      <c r="A1" s="1" t="inlineStr">
        <is>
          <t>הנחות, מקורות ופערים פתוחים</t>
        </is>
      </c>
    </row>
    <row r="3">
      <c r="A3" s="3" t="inlineStr">
        <is>
          <t>סעיף</t>
        </is>
      </c>
      <c r="B3" s="3" t="inlineStr">
        <is>
          <t>ערך</t>
        </is>
      </c>
      <c r="C3" s="3" t="inlineStr">
        <is>
          <t>מקור / הערה</t>
        </is>
      </c>
    </row>
    <row r="4">
      <c r="A4" s="24" t="inlineStr">
        <is>
          <t>ATTOM — ROI לפי מדרגת רכישה</t>
        </is>
      </c>
      <c r="B4" s="5" t="inlineStr">
        <is>
          <t>&lt;$50K: −14% · $100-200K: ~32%</t>
        </is>
      </c>
      <c r="C4" s="37" t="inlineStr">
        <is>
          <t>ATTOM Q1 2026, פורסם 18.6.2026 — המדרגה $100-200K היא הרווחית בארה"ב</t>
        </is>
      </c>
    </row>
    <row r="5">
      <c r="A5" s="24" t="inlineStr">
        <is>
          <t>ATTOM — ארצי Q1 2026</t>
        </is>
      </c>
      <c r="B5" s="5" t="inlineStr">
        <is>
          <t>רכישה $260K / מכירה $326K · רווח $66K · ROI 25.4% · 165 יום</t>
        </is>
      </c>
      <c r="C5" s="37" t="inlineStr">
        <is>
          <t>ATTOM Q1 2026 Home Flipping Report</t>
        </is>
      </c>
    </row>
    <row r="6">
      <c r="A6" s="24" t="inlineStr">
        <is>
          <t>נטו לפליפר החציוני</t>
        </is>
      </c>
      <c r="B6" s="5" t="inlineStr">
        <is>
          <t>~5.8%</t>
        </is>
      </c>
      <c r="C6" s="37" t="inlineStr">
        <is>
          <t>ATTOM עצמה. המרווח בין החציוני לרבעון העליון הוא כל העסק</t>
        </is>
      </c>
    </row>
    <row r="7">
      <c r="A7" s="24" t="inlineStr">
        <is>
          <t>תקרת מס רכוש אינדיאנה</t>
        </is>
      </c>
      <c r="B7" s="5" t="inlineStr">
        <is>
          <t>2% — לא-מאוכלס-בעלים ב-LLC</t>
        </is>
      </c>
      <c r="C7" s="37" t="inlineStr">
        <is>
          <t>IC 6-1.1-20.6-4(1). ⚠️ קוד סיווג 510/511 בטופס 11 — מיסווג מסחרי = 3%</t>
        </is>
      </c>
    </row>
    <row r="8">
      <c r="A8" s="24" t="inlineStr">
        <is>
          <t>SEA 1 — ניכוי 2% חדש</t>
        </is>
      </c>
      <c r="B8" s="5" t="inlineStr">
        <is>
          <t>שווה $0 במריון קאונטי</t>
        </is>
      </c>
      <c r="C8" s="37" t="inlineStr">
        <is>
          <t>כל מחוז מס במריון חורג מ-2%. מחוזות הדונאט (1.40-1.99%) כן נהנים</t>
        </is>
      </c>
    </row>
    <row r="9">
      <c r="A9" s="24" t="inlineStr">
        <is>
          <t>מס העברה</t>
        </is>
      </c>
      <c r="B9" s="5" t="inlineStr">
        <is>
          <t>$0 מדינתי</t>
        </is>
      </c>
      <c r="C9" s="37" t="inlineStr">
        <is>
          <t>אינדיאנה. ~$240 עלות ממשלתית לסבב הלוך-חזור</t>
        </is>
      </c>
    </row>
    <row r="10">
      <c r="A10" s="24" t="inlineStr">
        <is>
          <t>רישום נכסים ריקים</t>
        </is>
      </c>
      <c r="B10" s="5" t="inlineStr">
        <is>
          <t>לא קיים באינדיאנפוליס</t>
        </is>
      </c>
      <c r="C10" s="37" t="inlineStr">
        <is>
          <t>ושיפוץ עם היתר פטור מקנס הנטישה — §537-43(A)(3)(a). מסיר את הסיכון שהרג את בירמינגהם</t>
        </is>
      </c>
    </row>
    <row r="11">
      <c r="A11" s="24" t="inlineStr">
        <is>
          <t>עלות שיפוץ $/sqft</t>
        </is>
      </c>
      <c r="B11" s="5" t="inlineStr">
        <is>
          <t>קל 12-20 · בינוני 25-42 · גוט 45-75</t>
        </is>
      </c>
      <c r="C11" s="37" t="inlineStr">
        <is>
          <t>אינדיאנפוליס 2026. תוספת טרום-1970: $5-15/sqft</t>
        </is>
      </c>
    </row>
    <row r="12">
      <c r="A12" s="24" t="inlineStr">
        <is>
          <t>אינפלציית שיפוץ 2026</t>
        </is>
      </c>
      <c r="B12" s="5" t="inlineStr">
        <is>
          <t>MEP, לא עץ</t>
        </is>
      </c>
      <c r="C12" s="37" t="inlineStr">
        <is>
          <t>צו 232 (6.4.2026): מכס 50%. נחושת +36%, אלומיניום +45%. עץ −0.18%</t>
        </is>
      </c>
    </row>
    <row r="13">
      <c r="A13" s="24" t="inlineStr">
        <is>
          <t>היתרים</t>
        </is>
      </c>
      <c r="B13" s="5" t="inlineStr">
        <is>
          <t>מבני $390 · מטבח/אמבט ~$712</t>
        </is>
      </c>
      <c r="C13" s="37" t="inlineStr">
        <is>
          <t>בדיקה ראשונה 15-20 ימי עסקים — כחודש זמן מת אם לא מגישים לפני הסגירה</t>
        </is>
      </c>
    </row>
    <row r="14">
      <c r="A14" s="24" t="inlineStr">
        <is>
          <t>עלויות יציאה</t>
        </is>
      </c>
      <c r="B14" s="5" t="inlineStr">
        <is>
          <t>8.3%-8.5% מה-ARV</t>
        </is>
      </c>
      <c r="C14" s="37" t="inlineStr">
        <is>
          <t>מול רווח גולמי של ~16%. חצי מהרווח</t>
        </is>
      </c>
    </row>
    <row r="15">
      <c r="A15" s="24" t="inlineStr">
        <is>
          <t>עמלות אחרי הסדר NAR</t>
        </is>
      </c>
      <c r="B15" s="5" t="inlineStr">
        <is>
          <t>מוכר 2.738% · קונה 2.55%</t>
        </is>
      </c>
      <c r="C15" s="37" t="inlineStr">
        <is>
          <t>AccountTECH, 625 משרדים. כמעט ללא שינוי בטווח מחירים זה</t>
        </is>
      </c>
    </row>
    <row r="16">
      <c r="A16" s="24" t="inlineStr">
        <is>
          <t>Hard money 2026</t>
        </is>
      </c>
      <c r="B16" s="5" t="inlineStr">
        <is>
          <t>7.75%-10.5% IO · 1.5-3 נק' · 90-95% LTC · 70-75% ARV</t>
        </is>
      </c>
      <c r="C16" s="37" t="inlineStr">
        <is>
          <t>Kiavi סוגר ב-7 ימי עסקים · Lima One מ-7.25% ל-10+ פליפים</t>
        </is>
      </c>
    </row>
    <row r="17">
      <c r="A17" s="24" t="inlineStr">
        <is>
          <t>FHA — כלל 90 יום</t>
        </is>
      </c>
      <c r="B17" s="5" t="inlineStr">
        <is>
          <t>24 CFR 203.37a</t>
        </is>
      </c>
      <c r="C17" s="37" t="inlineStr">
        <is>
          <t>אומת בתוקף ל-1.9.2026. ה-FHA מדברת על ביטול אך לא נפתח הליך חקיקה</t>
        </is>
      </c>
    </row>
    <row r="18">
      <c r="A18" s="24" t="inlineStr">
        <is>
          <t>FHA במריון קאונטי</t>
        </is>
      </c>
      <c r="B18" s="5" t="inlineStr">
        <is>
          <t>23.9%-26.5% מההלוואות · הלוואה ממוצעת $250,718</t>
        </is>
      </c>
      <c r="C18" s="37" t="inlineStr">
        <is>
          <t>≈ בית של ~$255K. ארצית רק 10.2% מהפליפים יוצאים ל-FHA — כאן זה הרבה יותר</t>
        </is>
      </c>
    </row>
    <row r="19">
      <c r="A19" s="24" t="inlineStr">
        <is>
          <t>EPA RRP</t>
        </is>
      </c>
      <c r="B19" s="5" t="inlineStr">
        <is>
          <t>$46,989 ליום להפרה</t>
        </is>
      </c>
      <c r="C19" s="37" t="inlineStr">
        <is>
          <t>נכון ל-12.1.2026. חל על ~46% מזרימת העסקאות. עלות ציות ~$429 + בידוד</t>
        </is>
      </c>
    </row>
    <row r="20">
      <c r="A20" s="24" t="inlineStr">
        <is>
          <t>MIBOR יולי 2026</t>
        </is>
      </c>
      <c r="B20" s="5" t="inlineStr">
        <is>
          <t>מדיאן $325K · 2.7 חודשי היצע · DOM 22</t>
        </is>
      </c>
      <c r="C20" s="37" t="inlineStr">
        <is>
          <t>מריון קאונטי: $265K · 3.2 חודשים · DOM 25 (+32% שנתי)</t>
        </is>
      </c>
    </row>
    <row r="21">
      <c r="A21" s="24" t="inlineStr">
        <is>
          <t>Center Township</t>
        </is>
      </c>
      <c r="B21" s="5" t="inlineStr">
        <is>
          <t>5.7 חודשי היצע · 41 DOM · 93.1% מהמחירון המקורי</t>
        </is>
      </c>
      <c r="C21" s="37" t="inlineStr">
        <is>
          <t>המסדרון המרכזי איטי משמעותית מהמטרו</t>
        </is>
      </c>
    </row>
    <row r="22">
      <c r="A22" s="24" t="inlineStr"/>
      <c r="B22" s="5" t="inlineStr"/>
      <c r="C22" s="37" t="inlineStr">
        <is>
          <t xml:space="preserve"> </t>
        </is>
      </c>
    </row>
    <row r="23">
      <c r="A23" s="3" t="inlineStr">
        <is>
          <t>⚠️ פערים פתוחים</t>
        </is>
      </c>
      <c r="B23" s="3" t="inlineStr"/>
      <c r="C23" s="3" t="inlineStr">
        <is>
          <t>להשלים לפני ההצעה הראשונה</t>
        </is>
      </c>
    </row>
    <row r="24">
      <c r="A24" s="24" t="inlineStr">
        <is>
          <t>גודל ההטבות לקונה בדולרים</t>
        </is>
      </c>
      <c r="B24" s="5" t="inlineStr">
        <is>
          <t>חציון $5,000-6,500 · 1.9% מהמחיר · p75 2.8%</t>
        </is>
      </c>
      <c r="C24" s="37" t="inlineStr">
        <is>
          <t>נמדד 6.9.2026 מ-E3_Seller_Points (9,736 מכירות 2024-26). ⚠️ שכיחות 25% בטופס מול 46% ב-Redfin — רצפה</t>
        </is>
      </c>
    </row>
    <row r="25">
      <c r="A25" s="24" t="inlineStr">
        <is>
          <t>בסיס ההשתתפות לרוח/ברד</t>
        </is>
      </c>
      <c r="B25" s="5" t="inlineStr">
        <is>
          <t>לא ידוע</t>
        </is>
      </c>
      <c r="C25" s="37" t="inlineStr">
        <is>
          <t>% מהכיסוי או $ קבוע? אינדיאנה שלישית בארה"ב באירועי ברד ב-2024. 5% על $200K = $10,000</t>
        </is>
      </c>
    </row>
    <row r="26">
      <c r="A26" s="24" t="inlineStr">
        <is>
          <t>הצעת קבלן אמיתית</t>
        </is>
      </c>
      <c r="B26" s="5" t="inlineStr">
        <is>
          <t>טרם נלקחה</t>
        </is>
      </c>
      <c r="C26" s="37" t="inlineStr">
        <is>
          <t>בית אחד משנות ה-50-90. כל המודל נשען על $/sqft שהוא טווח, לא הצעה</t>
        </is>
      </c>
    </row>
    <row r="27">
      <c r="A27" s="24" t="inlineStr">
        <is>
          <t>מכפיל ARV 1.18</t>
        </is>
      </c>
      <c r="B27" s="5" t="inlineStr">
        <is>
          <t>נפסל — קומפס גאוגרפיים</t>
        </is>
      </c>
      <c r="C27" s="37" t="inlineStr">
        <is>
          <t>arv.py: 10 קומפס, קונה תופס, שומה ±25%. שגיאה חציונית 12.4%, p90 42% (backtest 6.9.2026). הטווח הוא המוצר</t>
        </is>
      </c>
    </row>
    <row r="28">
      <c r="A28" s="24" t="inlineStr">
        <is>
          <t>Commissioners' Certificate Sale</t>
        </is>
      </c>
      <c r="B28" s="5" t="inlineStr">
        <is>
          <t>לא אומת שקיים במריון</t>
        </is>
      </c>
      <c r="C28" s="37" t="inlineStr">
        <is>
          <t>IC 6-1.1-24-6.1, פדיון 120 יום. הערוץ היחיד שתואם למהירות פליפ. טל' 317-327-4444</t>
        </is>
      </c>
    </row>
    <row r="29">
      <c r="A29" s="24" t="inlineStr">
        <is>
          <t>האם LLC לא-תושב מוציא היתרים בעצמו?</t>
        </is>
      </c>
      <c r="B29" s="5" t="inlineStr">
        <is>
          <t>סתירה בין שני מסמכי עירייה</t>
        </is>
      </c>
      <c r="C29" s="37" t="inlineStr">
        <is>
          <t>317-327-8700, לבקש בכתב</t>
        </is>
      </c>
    </row>
    <row r="30">
      <c r="A30" s="24" t="inlineStr">
        <is>
          <t>ATTOM ברמת מטרו אינדיאנפוליס</t>
        </is>
      </c>
      <c r="B30" s="5" t="inlineStr">
        <is>
          <t>לא פורסם</t>
        </is>
      </c>
      <c r="C30" s="37" t="inlineStr">
        <is>
          <t>אינדי לא מופיעה באף אחת מ-5 רשימות Q1 2026. נדרש מנוי</t>
        </is>
      </c>
    </row>
    <row r="31">
      <c r="A31" t="inlineStr">
        <is>
          <t>כלל ההצעה</t>
        </is>
      </c>
      <c r="B31" t="inlineStr">
        <is>
          <t>72% ב-BUY BOX · 69% בצפון (היה 70%)</t>
        </is>
      </c>
      <c r="C31" t="inlineStr">
        <is>
          <t>70% מכויל לקונה ממונף; במזומן חוזרות 2 נקודות. בצפון שגיאת ARV 18.7% ⇒ 69% לאותה כרית. decisions.md 6.9.2026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54" customWidth="1" min="4" max="4"/>
  </cols>
  <sheetData>
    <row r="1">
      <c r="A1" s="1" t="inlineStr">
        <is>
          <t>מזומן מלא מול מינוף — אותה עסקה בדיוק</t>
        </is>
      </c>
    </row>
    <row r="2">
      <c r="A2" s="2" t="inlineStr">
        <is>
          <t>שתי העמודות מושכות את אותם קלטים מגיליון מודל_עסקה. משנים שם — שתיהן זזות.</t>
        </is>
      </c>
    </row>
    <row r="4">
      <c r="A4" s="3" t="inlineStr">
        <is>
          <t>שורה</t>
        </is>
      </c>
      <c r="B4" s="3" t="inlineStr">
        <is>
          <t>מזומן מלא</t>
        </is>
      </c>
      <c r="C4" s="3" t="inlineStr">
        <is>
          <t>ממונף 90% LTC</t>
        </is>
      </c>
      <c r="D4" s="3" t="inlineStr">
        <is>
          <t>הערה</t>
        </is>
      </c>
    </row>
    <row r="5">
      <c r="A5" s="24" t="inlineStr">
        <is>
          <t>סכום ההלוואה</t>
        </is>
      </c>
      <c r="B5" s="11">
        <f>0</f>
        <v/>
      </c>
      <c r="C5" s="11">
        <f>(מודל_עסקה!$B$9*0.90+מודל_עסקה!$B$17*1.00)</f>
        <v/>
      </c>
      <c r="D5" s="2" t="inlineStr"/>
    </row>
    <row r="6">
      <c r="A6" s="24" t="inlineStr">
        <is>
          <t>עלות מימון</t>
        </is>
      </c>
      <c r="B6" s="11">
        <f>0</f>
        <v/>
      </c>
      <c r="C6" s="11">
        <f>((מודל_עסקה!$B$9*0.90+מודל_עסקה!$B$17*1.00)*0.02+(מודל_עסקה!$B$9*0.90+מודל_עסקה!$B$17*1.00)*0.095*מודל_עסקה!$B$30/12)</f>
        <v/>
      </c>
      <c r="D6" s="2" t="inlineStr">
        <is>
          <t>נקודות 2% + ריבית 9.5% לתקופה</t>
        </is>
      </c>
    </row>
    <row r="7">
      <c r="A7" s="24" t="inlineStr">
        <is>
          <t>סה"כ בסיס</t>
        </is>
      </c>
      <c r="B7" s="11">
        <f>(מודל_עסקה!$B$9+מודל_עסקה!$B$24+מודל_עסקה!$B$17+מודל_עסקה!$B$41)</f>
        <v/>
      </c>
      <c r="C7" s="11">
        <f>((מודל_עסקה!$B$9+מודל_עסקה!$B$24+מודל_עסקה!$B$17+מודל_עסקה!$B$41)+((מודל_עסקה!$B$9*0.90+מודל_עסקה!$B$17*1.00)*0.02+(מודל_עסקה!$B$9*0.90+מודל_עסקה!$B$17*1.00)*0.095*מודל_עסקה!$B$30/12))</f>
        <v/>
      </c>
      <c r="D7" s="2" t="inlineStr"/>
    </row>
    <row r="8">
      <c r="A8" s="24" t="inlineStr">
        <is>
          <t>מזומן שהושקע</t>
        </is>
      </c>
      <c r="B8" s="11">
        <f>(מודל_עסקה!$B$9+מודל_עסקה!$B$24+מודל_עסקה!$B$17+מודל_עסקה!$B$41)</f>
        <v/>
      </c>
      <c r="C8" s="11">
        <f>((מודל_עסקה!$B$9+מודל_עסקה!$B$24+מודל_עסקה!$B$17+מודל_עסקה!$B$41)+((מודל_עסקה!$B$9*0.90+מודל_עסקה!$B$17*1.00)*0.02+(מודל_עסקה!$B$9*0.90+מודל_עסקה!$B$17*1.00)*0.095*מודל_עסקה!$B$30/12))-(מודל_עסקה!$B$9*0.90+מודל_עסקה!$B$17*1.00)</f>
        <v/>
      </c>
      <c r="D8" s="2" t="inlineStr">
        <is>
          <t>זה מה שיוצא מהכיס</t>
        </is>
      </c>
    </row>
    <row r="9">
      <c r="A9" s="24" t="inlineStr">
        <is>
          <t>תמורה נטו ממכירה</t>
        </is>
      </c>
      <c r="B9" s="11">
        <f>מודל_עסקה!$B$66</f>
        <v/>
      </c>
      <c r="C9" s="11">
        <f>מודל_עסקה!$B$66</f>
        <v/>
      </c>
      <c r="D9" s="2" t="inlineStr">
        <is>
          <t>זהה — המינוף לא נוגע ליציאה</t>
        </is>
      </c>
    </row>
    <row r="10">
      <c r="A10" s="24" t="inlineStr">
        <is>
          <t>רווח גולמי</t>
        </is>
      </c>
      <c r="B10" s="28">
        <f>מודל_עסקה!$B$66-(מודל_עסקה!$B$9+מודל_עסקה!$B$24+מודל_עסקה!$B$17+מודל_עסקה!$B$41)</f>
        <v/>
      </c>
      <c r="C10" s="28">
        <f>מודל_עסקה!$B$66-((מודל_עסקה!$B$9+מודל_עסקה!$B$24+מודל_עסקה!$B$17+מודל_עסקה!$B$41)+((מודל_עסקה!$B$9*0.90+מודל_עסקה!$B$17*1.00)*0.02+(מודל_עסקה!$B$9*0.90+מודל_עסקה!$B$17*1.00)*0.095*מודל_עסקה!$B$30/12))</f>
        <v/>
      </c>
      <c r="D10" s="2" t="inlineStr">
        <is>
          <t>המינוף מוריד רווח בדולרים</t>
        </is>
      </c>
    </row>
    <row r="11">
      <c r="A11" s="24" t="inlineStr">
        <is>
          <t>תשואה על העלות</t>
        </is>
      </c>
      <c r="B11" s="17">
        <f>(מודל_עסקה!$B$66-(מודל_עסקה!$B$9+מודל_עסקה!$B$24+מודל_עסקה!$B$17+מודל_עסקה!$B$41))/(מודל_עסקה!$B$9+מודל_עסקה!$B$24+מודל_עסקה!$B$17+מודל_עסקה!$B$41)</f>
        <v/>
      </c>
      <c r="C11" s="17">
        <f>(מודל_עסקה!$B$66-((מודל_עסקה!$B$9+מודל_עסקה!$B$24+מודל_עסקה!$B$17+מודל_עסקה!$B$41)+((מודל_עסקה!$B$9*0.90+מודל_עסקה!$B$17*1.00)*0.02+(מודל_עסקה!$B$9*0.90+מודל_עסקה!$B$17*1.00)*0.095*מודל_עסקה!$B$30/12)))/((מודל_עסקה!$B$9+מודל_עסקה!$B$24+מודל_עסקה!$B$17+מודל_עסקה!$B$41)+((מודל_עסקה!$B$9*0.90+מודל_עסקה!$B$17*1.00)*0.02+(מודל_עסקה!$B$9*0.90+מודל_עסקה!$B$17*1.00)*0.095*מודל_עסקה!$B$30/12))</f>
        <v/>
      </c>
      <c r="D11" s="2" t="inlineStr"/>
    </row>
    <row r="12">
      <c r="A12" s="24" t="inlineStr">
        <is>
          <t>תשואה על המזומן (CoC)</t>
        </is>
      </c>
      <c r="B12" s="29">
        <f>(מודל_עסקה!$B$66-(מודל_עסקה!$B$9+מודל_עסקה!$B$24+מודל_עסקה!$B$17+מודל_עסקה!$B$41))/(מודל_עסקה!$B$9+מודל_עסקה!$B$24+מודל_עסקה!$B$17+מודל_עסקה!$B$41)</f>
        <v/>
      </c>
      <c r="C12" s="29">
        <f>(מודל_עסקה!$B$66-((מודל_עסקה!$B$9+מודל_עסקה!$B$24+מודל_עסקה!$B$17+מודל_עסקה!$B$41)+((מודל_עסקה!$B$9*0.90+מודל_עסקה!$B$17*1.00)*0.02+(מודל_עסקה!$B$9*0.90+מודל_עסקה!$B$17*1.00)*0.095*מודל_עסקה!$B$30/12)))/(((מודל_עסקה!$B$9+מודל_עסקה!$B$24+מודל_עסקה!$B$17+מודל_עסקה!$B$41)+((מודל_עסקה!$B$9*0.90+מודל_עסקה!$B$17*1.00)*0.02+(מודל_עסקה!$B$9*0.90+מודל_עסקה!$B$17*1.00)*0.095*מודל_עסקה!$B$30/12))-(מודל_עסקה!$B$9*0.90+מודל_עסקה!$B$17*1.00))</f>
        <v/>
      </c>
      <c r="D12" s="2" t="inlineStr">
        <is>
          <t>ומעלה תשואה על ההון</t>
        </is>
      </c>
    </row>
    <row r="13">
      <c r="A13" s="24" t="inlineStr">
        <is>
          <t>תשואה שנתית על המזומן</t>
        </is>
      </c>
      <c r="B13" s="17">
        <f>B12*מודל_עסקה!$B$31</f>
        <v/>
      </c>
      <c r="C13" s="17">
        <f>C12*מודל_עסקה!$B$31</f>
        <v/>
      </c>
      <c r="D13" s="2" t="inlineStr"/>
    </row>
    <row r="14">
      <c r="A14" s="24" t="inlineStr">
        <is>
          <t>עסקאות במקביל על $500K</t>
        </is>
      </c>
      <c r="B14" s="21">
        <f>ROUNDDOWN(500000/(מודל_עסקה!$B$9+מודל_עסקה!$B$24+מודל_עסקה!$B$17+מודל_עסקה!$B$41),0)</f>
        <v/>
      </c>
      <c r="C14" s="21">
        <f>ROUNDDOWN(500000/(((מודל_עסקה!$B$9+מודל_עסקה!$B$24+מודל_עסקה!$B$17+מודל_עסקה!$B$41)+((מודל_עסקה!$B$9*0.90+מודל_עסקה!$B$17*1.00)*0.02+(מודל_עסקה!$B$9*0.90+מודל_עסקה!$B$17*1.00)*0.095*מודל_עסקה!$B$30/12))-(מודל_עסקה!$B$9*0.90+מודל_עסקה!$B$17*1.00)),0)</f>
        <v/>
      </c>
      <c r="D14" s="2" t="inlineStr">
        <is>
          <t>וזה כל ההבדל</t>
        </is>
      </c>
    </row>
    <row r="15">
      <c r="A15" s="24" t="inlineStr">
        <is>
          <t>רווח שנתי — 2 במקביל</t>
        </is>
      </c>
      <c r="B15" s="28">
        <f>2*מודל_עסקה!$B$31*(מודל_עסקה!$B$66-(מודל_עסקה!$B$9+מודל_עסקה!$B$24+מודל_עסקה!$B$17+מודל_עסקה!$B$41))</f>
        <v/>
      </c>
      <c r="C15" s="28">
        <f>2*מודל_עסקה!$B$31*(מודל_עסקה!$B$66-((מודל_עסקה!$B$9+מודל_עסקה!$B$24+מודל_עסקה!$B$17+מודל_עסקה!$B$41)+((מודל_עסקה!$B$9*0.90+מודל_עסקה!$B$17*1.00)*0.02+(מודל_עסקה!$B$9*0.90+מודל_עסקה!$B$17*1.00)*0.095*מודל_עסקה!$B$30/12)))</f>
        <v/>
      </c>
      <c r="D15" s="2" t="inlineStr">
        <is>
          <t>ההתחלה השמרנית</t>
        </is>
      </c>
    </row>
    <row r="16">
      <c r="A16" s="24" t="inlineStr">
        <is>
          <t>רווח שנתי — במלוא הקיבולת</t>
        </is>
      </c>
      <c r="B16" s="11">
        <f>B14*מודל_עסקה!$B$31*(מודל_עסקה!$B$66-(מודל_עסקה!$B$9+מודל_עסקה!$B$24+מודל_עסקה!$B$17+מודל_עסקה!$B$41))</f>
        <v/>
      </c>
      <c r="C16" s="11">
        <f>C14*מודל_עסקה!$B$31*(מודל_עסקה!$B$66-((מודל_עסקה!$B$9+מודל_עסקה!$B$24+מודל_עסקה!$B$17+מודל_עסקה!$B$41)+((מודל_עסקה!$B$9*0.90+מודל_עסקה!$B$17*1.00)*0.02+(מודל_עסקה!$B$9*0.90+מודל_עסקה!$B$17*1.00)*0.095*מודל_עסקה!$B$30/12)))</f>
        <v/>
      </c>
      <c r="D16" s="2" t="inlineStr">
        <is>
          <t>תיאורטי — הקיבולת התפעולית תחסום</t>
        </is>
      </c>
    </row>
    <row r="18">
      <c r="A18" s="1" t="inlineStr">
        <is>
          <t>מה המינוף באמת עושה</t>
        </is>
      </c>
    </row>
    <row r="19">
      <c r="A19" s="5" t="inlineStr">
        <is>
          <t>• המינוף מקטין את הרווח בדולרים (נקודות + ריבית) ומגדיל את התשואה על ההון. זה טרייד-אוף, לא שדרוג.</t>
        </is>
      </c>
    </row>
    <row r="20">
      <c r="A20" s="5" t="inlineStr">
        <is>
          <t>• 90% LTC + 100% מימון שיפוץ = ~15% מזומן בעסקה. חריגת שיפוץ של 20% מוחקת חלק גדול מההון העצמי בעסקה.</t>
        </is>
      </c>
    </row>
    <row r="21">
      <c r="A21" s="5" t="inlineStr">
        <is>
          <t>• במזומן מלא: חריגה של 20% פוגעת ברווח, לא בהישרדות. אין קריאה לכסף, אין שעון ריבית, אין דד-ליין למלווה.</t>
        </is>
      </c>
    </row>
    <row r="22">
      <c r="A22" s="5" t="inlineStr">
        <is>
          <t>• הריבית רצה גם כשהבית יושב. ב-DOM של 51 יום ברמת המטרו, כל חודש עיכוב = ~1% מסכום ההלוואה.</t>
        </is>
      </c>
    </row>
    <row r="23">
      <c r="A23" s="5" t="inlineStr">
        <is>
          <t>• מזומן גם מנצח בהצעות: אין תנאי מימון, אין שמאות של מלווה, סגירה ב-10-14 יום.</t>
        </is>
      </c>
    </row>
  </sheetData>
  <mergeCells count="5">
    <mergeCell ref="A23:D23"/>
    <mergeCell ref="A22:D22"/>
    <mergeCell ref="A20:D20"/>
    <mergeCell ref="A21:D21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2026-09-06T07:12:52Z</dcterms:created>
  <dcterms:modified xmlns:dcterms="http://purl.org/dc/terms/" xmlns:xsi="http://www.w3.org/2001/XMLSchema-instance" xsi:type="dcterms:W3CDTF">2026-09-06T20:09:55Z</dcterms:modified>
</cp:coreProperties>
</file>